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nato\Documents\Dev\GitHub\pmg-es-2026-2-ti5-6904100-le-ai\Atividade\"/>
    </mc:Choice>
  </mc:AlternateContent>
  <xr:revisionPtr revIDLastSave="0" documentId="13_ncr:1_{B4A1ACA7-EBF3-4135-8FE9-6B59CB101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a" sheetId="1" r:id="rId1"/>
    <sheet name="Previsões do Cronograma" sheetId="2" r:id="rId2"/>
    <sheet name="Param" sheetId="3" r:id="rId3"/>
    <sheet name="Recursos" sheetId="4" r:id="rId4"/>
    <sheet name="Instruções" sheetId="5" r:id="rId5"/>
  </sheets>
  <definedNames>
    <definedName name="_xlnm._FilterDatabase" localSheetId="1" hidden="1">'Previsões do Cronograma'!$A$6:$I$32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</calcChain>
</file>

<file path=xl/sharedStrings.xml><?xml version="1.0" encoding="utf-8"?>
<sst xmlns="http://schemas.openxmlformats.org/spreadsheetml/2006/main" count="213" uniqueCount="174">
  <si>
    <t>PREVISÕES DO CRONOGRAMA</t>
  </si>
  <si>
    <t>Lê Ai — Aplicativo social de leitura (TI V · PUC Minas)</t>
  </si>
  <si>
    <t>PUC Minas · Gerência de Projetos de Software  |  Guia PMBOK 8ª edição</t>
  </si>
  <si>
    <t>O QUE HÁ NESTE ARQUIVO</t>
  </si>
  <si>
    <t>#</t>
  </si>
  <si>
    <t>Aba</t>
  </si>
  <si>
    <t>O que ela contém</t>
  </si>
  <si>
    <t>Capa</t>
  </si>
  <si>
    <t>Identificação, controle de versões e aprovações</t>
  </si>
  <si>
    <t>Previsões do Cronograma</t>
  </si>
  <si>
    <t>ID · Atividade / Entrega (código da EAP) · Término Original · Término Previsto · Variação (dias) · SPI · ETC (dias) · …</t>
  </si>
  <si>
    <t>Param</t>
  </si>
  <si>
    <t>Data de status, inícios dos períodos e feriados usados nos cálculos — não editar sem revisar a aba principal</t>
  </si>
  <si>
    <t>Recursos</t>
  </si>
  <si>
    <t>Links e materiais de apoio</t>
  </si>
  <si>
    <t>Instruções</t>
  </si>
  <si>
    <t>Como preencher este documento</t>
  </si>
  <si>
    <t>CONTROLE DE VERSÕES</t>
  </si>
  <si>
    <t>Versão</t>
  </si>
  <si>
    <t>Data</t>
  </si>
  <si>
    <t>Autor</t>
  </si>
  <si>
    <t>Notas da revisão</t>
  </si>
  <si>
    <t>1.0</t>
  </si>
  <si>
    <t>Renato Douglas</t>
  </si>
  <si>
    <t>Versão inicial — data de status 05/10/2026 (início do Período 2)</t>
  </si>
  <si>
    <t>APROVAÇÕES</t>
  </si>
  <si>
    <t>Ref.</t>
  </si>
  <si>
    <t>Participante</t>
  </si>
  <si>
    <t>Assinatura</t>
  </si>
  <si>
    <t>1</t>
  </si>
  <si>
    <t>Vicenzo Fonseca de Mello Souza (Gerente do Projeto)</t>
  </si>
  <si>
    <t>2</t>
  </si>
  <si>
    <t>3</t>
  </si>
  <si>
    <t>Preencha uma linha de Controle de Versões a cada revisão deste documento, e uma linha de Aprovações a cada aprovação formal.</t>
  </si>
  <si>
    <t>GUIA PMBOK® — 8ª EDIÇÃO</t>
  </si>
  <si>
    <t>Saída do Processo: Controlar o Cronograma | Domínio: Cronograma</t>
  </si>
  <si>
    <t>ID</t>
  </si>
  <si>
    <t>Atividade / Entrega</t>
  </si>
  <si>
    <t>Término Original</t>
  </si>
  <si>
    <t>Término Previsto</t>
  </si>
  <si>
    <t>Variação (dias)</t>
  </si>
  <si>
    <t>SPI</t>
  </si>
  <si>
    <t>ETC (dias)</t>
  </si>
  <si>
    <t>Responsável</t>
  </si>
  <si>
    <t>Ação</t>
  </si>
  <si>
    <t>PREV-001</t>
  </si>
  <si>
    <t>1.4.2 P0-CI: Pipeline de Integração e Entrega Contínuas</t>
  </si>
  <si>
    <t>Kayke</t>
  </si>
  <si>
    <t>Único item aberto: exigir os checks de CI (required status checks) na proteção da main</t>
  </si>
  <si>
    <t>PREV-002</t>
  </si>
  <si>
    <t>1.4.4 P0-MSG: Mensageria e Integrações Base</t>
  </si>
  <si>
    <t>Preencher AMQP_URL no painel do Render e executar a prova Spring → Node em DES</t>
  </si>
  <si>
    <t>PREV-003</t>
  </si>
  <si>
    <t>1.5.11 Release do Período 1</t>
  </si>
  <si>
    <t>Vicenzo Fonseca</t>
  </si>
  <si>
    <t>Tag v0.1.0 em 29/09; validar em DES o que ficou pendente (Brevo, secrets do agendador, fila real)</t>
  </si>
  <si>
    <t>PREV-004</t>
  </si>
  <si>
    <t>1.6.2 F-SOCIAL-2: Comentários e Menções-Link</t>
  </si>
  <si>
    <t>Concluída nas 4 camadas; falta executar os testes de integração com Postgres</t>
  </si>
  <si>
    <t>PREV-005</t>
  </si>
  <si>
    <t>1.6.14 F-NOT-2: Notificações em Tempo Real</t>
  </si>
  <si>
    <t>Canal SSE implementado no back e no mobile; validar a conexão no Render free</t>
  </si>
  <si>
    <t>PREV-006</t>
  </si>
  <si>
    <t>1.6.11 F-LST: Listas</t>
  </si>
  <si>
    <t>Henrique Carvalho</t>
  </si>
  <si>
    <t>Web e mobile prontos em 05/10; falta a via lista no acervo, que destrava AVA-2 e MOD</t>
  </si>
  <si>
    <t>PREV-007</t>
  </si>
  <si>
    <t>1.6.3 F-ACV-DESCOBERTA: Filtros e Páginas de Autor, Editora e Série</t>
  </si>
  <si>
    <t>Infra e back prontos em 02/10; iniciar as telas web e mobile</t>
  </si>
  <si>
    <t>PREV-008</t>
  </si>
  <si>
    <t>1.6.5 F-EST-2: Favoritos, Histórico e Buscas</t>
  </si>
  <si>
    <t>Ana Luiza de Freitas</t>
  </si>
  <si>
    <t>Começar pela tabela favorito; telas são extensões da estante (dela)</t>
  </si>
  <si>
    <t>PREV-009</t>
  </si>
  <si>
    <t>1.6.10 F-GAM: Sequência Diária</t>
  </si>
  <si>
    <t>Depende do consumidor de métricas com backfill (1ª semana); se não fechar até 16/10, passar a GAM para a Ana</t>
  </si>
  <si>
    <t>PREV-010</t>
  </si>
  <si>
    <t>1.6.7 F-AVA-2: Reações, Markdown e Frases</t>
  </si>
  <si>
    <t>Iniciar após a via lista da F-LST; mapear resenha.curtida no consumidor de notificações</t>
  </si>
  <si>
    <t>PREV-011</t>
  </si>
  <si>
    <t>1.6.12 F-REC-P2P: Recomendação entre Usuários</t>
  </si>
  <si>
    <t>Dono adiantado (SOCIAL-2 e NOT-2 prontas); antecipar o consumidor de livro.adicionado_a_estante</t>
  </si>
  <si>
    <t>PREV-012</t>
  </si>
  <si>
    <t>1.6.9 F-STA: Estatísticas</t>
  </si>
  <si>
    <t>Reusa o consumidor de métricas da GAM; blocos no Meu perfil integrados pelo Henrique</t>
  </si>
  <si>
    <t>PREV-013</t>
  </si>
  <si>
    <t>1.6.13 F-MOD: Moderação</t>
  </si>
  <si>
    <t>Depende da AVA-2 (remoção de resenha e frase em leitura)</t>
  </si>
  <si>
    <t>PREV-014</t>
  </si>
  <si>
    <t>1.6.4 F-ACV-NOTA: Nota Geral e Cache de Capas</t>
  </si>
  <si>
    <t>Manter o plano; backfill da nota dos leitores antes de consumir nota.alterada</t>
  </si>
  <si>
    <t>PREV-015</t>
  </si>
  <si>
    <t>1.6.6 F-SESSAO: Sessão de Leitura Cronometrada</t>
  </si>
  <si>
    <t>Manter o plano; só mobile, reusa o endpoint e a fila offline da F-PRG</t>
  </si>
  <si>
    <t>PREV-016</t>
  </si>
  <si>
    <t>1.6.8 F-DSF: Desafios</t>
  </si>
  <si>
    <t>Risco de atraso: 4ª feature do mesmo dono; acompanhar na reunião semanal</t>
  </si>
  <si>
    <t>PREV-017</t>
  </si>
  <si>
    <t>1.6.1 F-CONTA-2: Exclusão de Conta</t>
  </si>
  <si>
    <t>Fecha por último: precisa do inventário das tabelas criadas no Período 2</t>
  </si>
  <si>
    <t>PREV-018</t>
  </si>
  <si>
    <t>1.6.15 Release do Período 2 — Entrega 5 (M6)</t>
  </si>
  <si>
    <t>Merge desenvolvimento → main, tag e GitHub Release; o que não fechar desce de prioridade</t>
  </si>
  <si>
    <t>PREV-019</t>
  </si>
  <si>
    <t>1.7.9 Release do Período 3 — congelamento de features (M7)</t>
  </si>
  <si>
    <t>Opcionais absorvem o atraso: corta-se escopo, a data não se move</t>
  </si>
  <si>
    <t>PREV-020</t>
  </si>
  <si>
    <t>1.8.3 Release Final em Produção (M8)</t>
  </si>
  <si>
    <t>Congelamento de código e deploy de produção a partir de tag</t>
  </si>
  <si>
    <t>PREV-021</t>
  </si>
  <si>
    <t>1.9 Encerramento — Entrega 6 (M9)</t>
  </si>
  <si>
    <t>40 dos 100 pontos: Doc. de Arquitetura final, relatório de encerramento e vídeo</t>
  </si>
  <si>
    <t>PREV-022</t>
  </si>
  <si>
    <t>1.9.5 Apresentação Final (M10)</t>
  </si>
  <si>
    <t>Apresentação aos patrocinadores e lições aprendidas</t>
  </si>
  <si>
    <t>(Nenhum campo com lista de opções neste modelo)</t>
  </si>
  <si>
    <t>PARÂMETROS DOS CÁLCULOS</t>
  </si>
  <si>
    <t>Data de status</t>
  </si>
  <si>
    <t>Data em que as previsões foram feitas</t>
  </si>
  <si>
    <t>Início do Período 0 (fundação)</t>
  </si>
  <si>
    <t>Plano de projeto §3</t>
  </si>
  <si>
    <t>Início do Período 1 (prioritárias)</t>
  </si>
  <si>
    <t>Início do Período 2 (desejáveis)</t>
  </si>
  <si>
    <t>Divisão do Período 2 fechada em 29/09</t>
  </si>
  <si>
    <t>FERIADOS (descontados dos dias úteis)</t>
  </si>
  <si>
    <t>Independência do Brasil</t>
  </si>
  <si>
    <t>Nacional</t>
  </si>
  <si>
    <t>Nossa Senhora Aparecida</t>
  </si>
  <si>
    <t>Finados</t>
  </si>
  <si>
    <t>Dia da Consciência Negra</t>
  </si>
  <si>
    <t>Imaculada Conceição</t>
  </si>
  <si>
    <t>Municipal (Belo Horizonte)</t>
  </si>
  <si>
    <t>Recursos — Previsões do Cronograma</t>
  </si>
  <si>
    <t>ARTIGOS RELACIONADOS</t>
  </si>
  <si>
    <t>Previsões do Cronograma — PMBOK 8: Guia Completo</t>
  </si>
  <si>
    <t>https://escritoriodeprojetos.com.br/previsoes-do-cronograma/</t>
  </si>
  <si>
    <t>MODELOS RELACIONADOS</t>
  </si>
  <si>
    <t>Todos os modelos PMBOK 8 — escritoriodeprojetos.com.br</t>
  </si>
  <si>
    <t>https://escritoriodeprojetos.com.br/modelos-pmbok/</t>
  </si>
  <si>
    <t>ARTEFATOS DO PROJETO</t>
  </si>
  <si>
    <t>EAP e dicionário da EAP</t>
  </si>
  <si>
    <t>assets/gerencia/eap.md</t>
  </si>
  <si>
    <t>Declaração de Escopo (marcos M1–M10)</t>
  </si>
  <si>
    <t>assets/gerencia/declaracao_de_escopo.md</t>
  </si>
  <si>
    <t>Plano de Projeto (fases e prazos, §3)</t>
  </si>
  <si>
    <t>docs/orquestador/plano-de-projeto.md</t>
  </si>
  <si>
    <t>Plano de Desenvolvimento (status das features)</t>
  </si>
  <si>
    <t>docs/plano-de-desenvolvimento/</t>
  </si>
  <si>
    <t>Quadro Kanban do projeto</t>
  </si>
  <si>
    <t>https://github.com/orgs/ICEI-PUC-Minas-PMGES-TI/projects/738</t>
  </si>
  <si>
    <t>Modelo fornecido por escritoriodeprojetos.com.br | Guia PMBOK® — 8ª Edição</t>
  </si>
  <si>
    <t>Previsões do Cronograma — Lê Ai</t>
  </si>
  <si>
    <t>FINALIDADE</t>
  </si>
  <si>
    <t>Finalidade: projetar as datas de término das entregas do Lê Ai com base no desempenho real, na data de status de 05/10/2026.</t>
  </si>
  <si>
    <t>COMO USAR</t>
  </si>
  <si>
    <t>1. Atualize a data de status na aba Param a cada revisão.</t>
  </si>
  <si>
    <t>2. Atualize Término Previsto conforme o status de cada feature; Variação, SPI e ETC recalculam sozinhos.</t>
  </si>
  <si>
    <t>3. Adicione linhas conforme necessário — mantenha o cabeçalho intacto e copie as fórmulas de E a G.</t>
  </si>
  <si>
    <t>ABAS</t>
  </si>
  <si>
    <t>Esta aba: orientações de uso do modelo.</t>
  </si>
  <si>
    <t>Data de status, inícios dos períodos e feriados usados nas fórmulas.</t>
  </si>
  <si>
    <t>Aba principal: preencha os dados do projeto aqui.</t>
  </si>
  <si>
    <t>Links para artigos e recursos relacionados.</t>
  </si>
  <si>
    <t>CAMPOS</t>
  </si>
  <si>
    <t>Identificador da previsão (PREV-nnn).</t>
  </si>
  <si>
    <t>Código e nome do pacote de trabalho na EAP (assets/gerencia/eap.md).</t>
  </si>
  <si>
    <t>Data do marco na linha de base (Declaração de Escopo §6).</t>
  </si>
  <si>
    <t>Data estimada a partir do status real da feature na data de status.</t>
  </si>
  <si>
    <t>Dias úteis entre o término original e o previsto (positivo = atraso; negativo = adiantado). Fórmula.</t>
  </si>
  <si>
    <t>Duração planejada ÷ duração prevista, em dias úteis desde o início do período. Acima de 1 = adiantado. Fórmula.</t>
  </si>
  <si>
    <t>Dias úteis restantes da data de status até o término previsto (0 = concluído). Fórmula.</t>
  </si>
  <si>
    <t>Dono da entrega no Plano de Desenvolvimento; marcos ficam com o gerente.</t>
  </si>
  <si>
    <t>Próximo passo ou resposta ao desvio.</t>
  </si>
  <si>
    <t>Henrique Moreira Gomes de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</si>
</sst>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+0;\-0;0"/>
  </numFmts>
  <fonts count="22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sz val="10"/>
      <name val="Calibri"/>
    </font>
    <font>
      <b/>
      <sz val="11"/>
      <color rgb="FF2E75B6"/>
      <name val="Calibri"/>
    </font>
    <font>
      <b/>
      <sz val="14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</font>
    <font>
      <b/>
      <sz val="12"/>
      <color rgb="FF1F3864"/>
      <name val="Calibri"/>
    </font>
    <font>
      <i/>
      <sz val="10"/>
      <color rgb="FF595959"/>
      <name val="Calibri"/>
    </font>
    <font>
      <u/>
      <sz val="10"/>
      <color rgb="FF0563C1"/>
      <name val="Calibri"/>
    </font>
    <font>
      <i/>
      <sz val="9"/>
      <color rgb="FF7F7F7F"/>
      <name val="Calibri"/>
    </font>
    <font>
      <b/>
      <sz val="16"/>
      <color rgb="FFFFFFFF"/>
      <name val="Segoe UI"/>
      <family val="2"/>
    </font>
    <font>
      <b/>
      <sz val="13"/>
      <color rgb="FFFFFFFF"/>
      <name val="Segoe UI"/>
      <family val="2"/>
    </font>
    <font>
      <sz val="9"/>
      <color rgb="FFD6E4F0"/>
      <name val="Segoe UI"/>
      <family val="2"/>
    </font>
    <font>
      <b/>
      <sz val="11"/>
      <color rgb="FFFFFFFF"/>
      <name val="Segoe UI"/>
      <family val="2"/>
    </font>
    <font>
      <b/>
      <sz val="10"/>
      <color rgb="FFFFFFFF"/>
      <name val="Segoe UI"/>
      <family val="2"/>
    </font>
    <font>
      <b/>
      <sz val="11"/>
      <color rgb="FF1F4E79"/>
      <name val="Segoe UI"/>
      <family val="2"/>
    </font>
    <font>
      <b/>
      <sz val="12"/>
      <color rgb="FF1F4E79"/>
      <name val="Segoe UI"/>
      <family val="2"/>
    </font>
    <font>
      <sz val="10"/>
      <color rgb="FF333333"/>
      <name val="Segoe UI"/>
      <family val="2"/>
    </font>
    <font>
      <i/>
      <sz val="9"/>
      <color rgb="FF94A3B8"/>
      <name val="Segoe UI"/>
      <family val="2"/>
    </font>
    <font>
      <sz val="10"/>
      <color rgb="FF333333"/>
      <name val="Segoe UI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0D1B2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D0E0"/>
      </left>
      <right style="thin">
        <color rgb="FFBFD0E0"/>
      </right>
      <top style="thin">
        <color rgb="FFBFD0E0"/>
      </top>
      <bottom style="thin">
        <color rgb="FFBFD0E0"/>
      </bottom>
      <diagonal/>
    </border>
    <border>
      <left/>
      <right style="thin">
        <color rgb="FFBFD0E0"/>
      </right>
      <top style="thin">
        <color rgb="FFBFD0E0"/>
      </top>
      <bottom style="thin">
        <color rgb="FFBFD0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15" fillId="7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indent="1"/>
    </xf>
    <xf numFmtId="0" fontId="18" fillId="0" borderId="2" xfId="0" applyFont="1" applyBorder="1" applyAlignment="1">
      <alignment horizontal="center" vertical="center"/>
    </xf>
    <xf numFmtId="0" fontId="20" fillId="8" borderId="4" xfId="0" applyFont="1" applyFill="1" applyBorder="1" applyAlignment="1">
      <alignment vertical="center" wrapText="1"/>
    </xf>
    <xf numFmtId="14" fontId="18" fillId="0" borderId="2" xfId="0" applyNumberFormat="1" applyFont="1" applyBorder="1" applyAlignment="1">
      <alignment horizontal="center" vertical="center"/>
    </xf>
    <xf numFmtId="14" fontId="20" fillId="8" borderId="4" xfId="0" applyNumberFormat="1" applyFont="1" applyFill="1" applyBorder="1" applyAlignment="1">
      <alignment vertical="center" wrapText="1"/>
    </xf>
    <xf numFmtId="165" fontId="20" fillId="8" borderId="4" xfId="0" applyNumberFormat="1" applyFont="1" applyFill="1" applyBorder="1" applyAlignment="1">
      <alignment vertical="center" wrapText="1"/>
    </xf>
    <xf numFmtId="2" fontId="20" fillId="8" borderId="4" xfId="0" applyNumberFormat="1" applyFont="1" applyFill="1" applyBorder="1" applyAlignment="1">
      <alignment vertical="center" wrapText="1"/>
    </xf>
    <xf numFmtId="1" fontId="20" fillId="8" borderId="4" xfId="0" applyNumberFormat="1" applyFont="1" applyFill="1" applyBorder="1" applyAlignment="1">
      <alignment vertical="center" wrapText="1"/>
    </xf>
    <xf numFmtId="14" fontId="2" fillId="0" borderId="0" xfId="0" applyNumberFormat="1" applyFont="1"/>
    <xf numFmtId="0" fontId="15" fillId="7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8" fillId="0" borderId="2" xfId="0" applyFont="1" applyBorder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0" fillId="0" borderId="0" xfId="0"/>
    <xf numFmtId="0" fontId="18" fillId="0" borderId="2" xfId="0" applyFont="1" applyBorder="1" applyAlignment="1">
      <alignment horizontal="left" vertical="center" wrapText="1" indent="1"/>
    </xf>
    <xf numFmtId="0" fontId="19" fillId="0" borderId="0" xfId="0" applyFont="1" applyAlignment="1">
      <alignment horizontal="left" vertical="center" indent="1"/>
    </xf>
    <xf numFmtId="0" fontId="14" fillId="7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left" vertical="center" wrapText="1" indent="1"/>
    </xf>
    <xf numFmtId="0" fontId="12" fillId="6" borderId="0" xfId="0" applyFont="1" applyFill="1" applyAlignment="1">
      <alignment horizontal="right" vertical="center" indent="1" shrinkToFit="1"/>
    </xf>
    <xf numFmtId="0" fontId="11" fillId="6" borderId="0" xfId="0" applyFont="1" applyFill="1" applyAlignment="1">
      <alignment horizontal="left" vertical="center" indent="1" shrinkToFit="1"/>
    </xf>
    <xf numFmtId="0" fontId="6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rgs/ICEI-PUC-Minas-PMGES-TI/projects/7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33"/>
  <sheetViews>
    <sheetView showGridLines="0" tabSelected="1" topLeftCell="A18" workbookViewId="0">
      <selection activeCell="E23" sqref="E23:F23"/>
    </sheetView>
  </sheetViews>
  <sheetFormatPr defaultRowHeight="14.4" x14ac:dyDescent="0.3"/>
  <cols>
    <col min="1" max="1" width="2.44140625" customWidth="1"/>
    <col min="2" max="2" width="9" customWidth="1"/>
    <col min="3" max="3" width="14" customWidth="1"/>
    <col min="4" max="4" width="20" customWidth="1"/>
    <col min="5" max="5" width="36" customWidth="1"/>
    <col min="6" max="6" width="26" customWidth="1"/>
  </cols>
  <sheetData>
    <row r="2" spans="2:6" ht="34.049999999999997" customHeight="1" x14ac:dyDescent="0.3">
      <c r="B2" s="29" t="s">
        <v>0</v>
      </c>
      <c r="C2" s="23"/>
      <c r="D2" s="23"/>
      <c r="E2" s="28" t="s">
        <v>1</v>
      </c>
      <c r="F2" s="23"/>
    </row>
    <row r="3" spans="2:6" ht="18" customHeight="1" x14ac:dyDescent="0.3">
      <c r="B3" s="22" t="s">
        <v>2</v>
      </c>
      <c r="C3" s="23"/>
      <c r="D3" s="23"/>
      <c r="E3" s="23"/>
      <c r="F3" s="23"/>
    </row>
    <row r="5" spans="2:6" ht="22.05" customHeight="1" x14ac:dyDescent="0.3">
      <c r="B5" s="26" t="s">
        <v>3</v>
      </c>
      <c r="C5" s="23"/>
      <c r="D5" s="23"/>
      <c r="E5" s="23"/>
      <c r="F5" s="23"/>
    </row>
    <row r="6" spans="2:6" ht="19.95" customHeight="1" x14ac:dyDescent="0.3">
      <c r="B6" s="8" t="s">
        <v>4</v>
      </c>
      <c r="C6" s="19" t="s">
        <v>5</v>
      </c>
      <c r="D6" s="20"/>
      <c r="E6" s="19" t="s">
        <v>6</v>
      </c>
      <c r="F6" s="20"/>
    </row>
    <row r="7" spans="2:6" ht="21" customHeight="1" x14ac:dyDescent="0.3">
      <c r="B7" s="9">
        <v>1</v>
      </c>
      <c r="C7" s="27" t="s">
        <v>7</v>
      </c>
      <c r="D7" s="20"/>
      <c r="E7" s="24" t="s">
        <v>8</v>
      </c>
      <c r="F7" s="20"/>
    </row>
    <row r="8" spans="2:6" ht="36" customHeight="1" x14ac:dyDescent="0.3">
      <c r="B8" s="9">
        <v>2</v>
      </c>
      <c r="C8" s="27" t="s">
        <v>9</v>
      </c>
      <c r="D8" s="20"/>
      <c r="E8" s="24" t="s">
        <v>10</v>
      </c>
      <c r="F8" s="20"/>
    </row>
    <row r="9" spans="2:6" ht="36" customHeight="1" x14ac:dyDescent="0.3">
      <c r="B9" s="9">
        <v>3</v>
      </c>
      <c r="C9" s="27" t="s">
        <v>11</v>
      </c>
      <c r="D9" s="20"/>
      <c r="E9" s="24" t="s">
        <v>12</v>
      </c>
      <c r="F9" s="20"/>
    </row>
    <row r="10" spans="2:6" ht="21" customHeight="1" x14ac:dyDescent="0.3">
      <c r="B10" s="9">
        <v>4</v>
      </c>
      <c r="C10" s="27" t="s">
        <v>13</v>
      </c>
      <c r="D10" s="20"/>
      <c r="E10" s="24" t="s">
        <v>14</v>
      </c>
      <c r="F10" s="20"/>
    </row>
    <row r="11" spans="2:6" ht="21" customHeight="1" x14ac:dyDescent="0.3">
      <c r="B11" s="9">
        <v>5</v>
      </c>
      <c r="C11" s="27" t="s">
        <v>15</v>
      </c>
      <c r="D11" s="20"/>
      <c r="E11" s="24" t="s">
        <v>16</v>
      </c>
      <c r="F11" s="20"/>
    </row>
    <row r="13" spans="2:6" ht="22.05" customHeight="1" x14ac:dyDescent="0.3">
      <c r="B13" s="26" t="s">
        <v>17</v>
      </c>
      <c r="C13" s="23"/>
      <c r="D13" s="23"/>
      <c r="E13" s="23"/>
      <c r="F13" s="23"/>
    </row>
    <row r="14" spans="2:6" ht="19.95" customHeight="1" x14ac:dyDescent="0.3">
      <c r="B14" s="8" t="s">
        <v>18</v>
      </c>
      <c r="C14" s="8" t="s">
        <v>19</v>
      </c>
      <c r="D14" s="8" t="s">
        <v>20</v>
      </c>
      <c r="E14" s="19" t="s">
        <v>21</v>
      </c>
      <c r="F14" s="20"/>
    </row>
    <row r="15" spans="2:6" ht="19.05" customHeight="1" x14ac:dyDescent="0.3">
      <c r="B15" s="11" t="s">
        <v>22</v>
      </c>
      <c r="C15" s="13">
        <v>46300</v>
      </c>
      <c r="D15" s="10" t="s">
        <v>23</v>
      </c>
      <c r="E15" s="21" t="s">
        <v>24</v>
      </c>
      <c r="F15" s="20"/>
    </row>
    <row r="16" spans="2:6" ht="19.05" customHeight="1" x14ac:dyDescent="0.3">
      <c r="B16" s="11"/>
      <c r="C16" s="11"/>
      <c r="D16" s="10"/>
      <c r="E16" s="21"/>
      <c r="F16" s="20"/>
    </row>
    <row r="17" spans="2:6" ht="19.05" customHeight="1" x14ac:dyDescent="0.3">
      <c r="B17" s="11"/>
      <c r="C17" s="11"/>
      <c r="D17" s="10"/>
      <c r="E17" s="21"/>
      <c r="F17" s="20"/>
    </row>
    <row r="18" spans="2:6" ht="19.05" customHeight="1" x14ac:dyDescent="0.3">
      <c r="B18" s="11"/>
      <c r="C18" s="11"/>
      <c r="D18" s="10"/>
      <c r="E18" s="21"/>
      <c r="F18" s="20"/>
    </row>
    <row r="19" spans="2:6" ht="19.05" customHeight="1" x14ac:dyDescent="0.3">
      <c r="B19" s="11"/>
      <c r="C19" s="11"/>
      <c r="D19" s="10"/>
      <c r="E19" s="21"/>
      <c r="F19" s="20"/>
    </row>
    <row r="21" spans="2:6" ht="22.05" customHeight="1" x14ac:dyDescent="0.3">
      <c r="B21" s="26" t="s">
        <v>25</v>
      </c>
      <c r="C21" s="23"/>
      <c r="D21" s="23"/>
      <c r="E21" s="23"/>
      <c r="F21" s="23"/>
    </row>
    <row r="22" spans="2:6" ht="19.95" customHeight="1" x14ac:dyDescent="0.3">
      <c r="B22" s="8" t="s">
        <v>26</v>
      </c>
      <c r="C22" s="8" t="s">
        <v>19</v>
      </c>
      <c r="D22" s="8" t="s">
        <v>27</v>
      </c>
      <c r="E22" s="19" t="s">
        <v>28</v>
      </c>
      <c r="F22" s="20"/>
    </row>
    <row r="23" spans="2:6" ht="19.05" customHeight="1" x14ac:dyDescent="0.3">
      <c r="B23" s="11" t="s">
        <v>29</v>
      </c>
      <c r="C23" s="13">
        <v>46300</v>
      </c>
      <c r="D23" s="10" t="s">
        <v>30</v>
      </c>
      <c r="E23" s="21"/>
      <c r="F23" s="20"/>
    </row>
    <row r="24" spans="2:6" ht="19.05" customHeight="1" x14ac:dyDescent="0.3">
      <c r="B24" s="11" t="s">
        <v>31</v>
      </c>
      <c r="C24" s="13">
        <v>46300</v>
      </c>
      <c r="D24" s="10" t="s">
        <v>173</v>
      </c>
      <c r="E24" s="21"/>
      <c r="F24" s="20"/>
    </row>
    <row r="25" spans="2:6" ht="19.05" customHeight="1" x14ac:dyDescent="0.3">
      <c r="B25" s="11" t="s">
        <v>32</v>
      </c>
      <c r="C25" s="11"/>
      <c r="D25" s="10"/>
      <c r="E25" s="21"/>
      <c r="F25" s="20"/>
    </row>
    <row r="27" spans="2:6" ht="16.05" customHeight="1" x14ac:dyDescent="0.3">
      <c r="B27" s="25" t="s">
        <v>33</v>
      </c>
      <c r="C27" s="23"/>
      <c r="D27" s="23"/>
      <c r="E27" s="23"/>
      <c r="F27" s="23"/>
    </row>
    <row r="33" spans="7:7" x14ac:dyDescent="0.3">
      <c r="G33" s="35"/>
    </row>
  </sheetData>
  <mergeCells count="29">
    <mergeCell ref="E2:F2"/>
    <mergeCell ref="C11:D11"/>
    <mergeCell ref="E11:F11"/>
    <mergeCell ref="C8:D8"/>
    <mergeCell ref="C7:D7"/>
    <mergeCell ref="E7:F7"/>
    <mergeCell ref="B5:F5"/>
    <mergeCell ref="B2:D2"/>
    <mergeCell ref="B27:F27"/>
    <mergeCell ref="B21:F21"/>
    <mergeCell ref="C10:D10"/>
    <mergeCell ref="E10:F10"/>
    <mergeCell ref="E19:F19"/>
    <mergeCell ref="B13:F13"/>
    <mergeCell ref="E15:F15"/>
    <mergeCell ref="E16:F16"/>
    <mergeCell ref="E25:F25"/>
    <mergeCell ref="E22:F22"/>
    <mergeCell ref="E18:F18"/>
    <mergeCell ref="C6:D6"/>
    <mergeCell ref="E24:F24"/>
    <mergeCell ref="B3:F3"/>
    <mergeCell ref="E23:F23"/>
    <mergeCell ref="E14:F14"/>
    <mergeCell ref="E17:F17"/>
    <mergeCell ref="E8:F8"/>
    <mergeCell ref="C9:D9"/>
    <mergeCell ref="E9:F9"/>
    <mergeCell ref="E6:F6"/>
  </mergeCells>
  <printOptions horizontalCentered="1"/>
  <pageMargins left="0.4" right="0.4" top="0.7" bottom="0.7" header="0.3" footer="0.3"/>
  <pageSetup paperSize="9" orientation="landscape" r:id="rId1"/>
  <headerFooter scaleWithDoc="0" alignWithMargins="0">
    <oddHeader>&amp;L&amp;"Segoe UI,Bold"&amp;9 &amp;K1F4E79PREVISÕES DO CRONOGRAMA&amp;R&amp;"Segoe UI,Regular"&amp;9 &amp;K666666Lê Ai — Aplicativo social de leitura (TI V · PUC Minas)</oddHeader>
    <oddFooter>&amp;C&amp;"Segoe UI,Regular"&amp;8 &amp;KBBBBBBescritoriodeprojetos.com.br  | 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2"/>
  <sheetViews>
    <sheetView showGridLines="0" workbookViewId="0">
      <pane ySplit="6" topLeftCell="A24" activePane="bottomLeft" state="frozen"/>
      <selection pane="bottomLeft" activeCell="A7" sqref="A7"/>
    </sheetView>
  </sheetViews>
  <sheetFormatPr defaultRowHeight="14.4" x14ac:dyDescent="0.3"/>
  <cols>
    <col min="1" max="1" width="18" customWidth="1"/>
    <col min="2" max="2" width="23" customWidth="1"/>
    <col min="3" max="4" width="20" customWidth="1"/>
    <col min="5" max="5" width="19" customWidth="1"/>
    <col min="6" max="9" width="18" customWidth="1"/>
  </cols>
  <sheetData>
    <row r="1" spans="1:9" ht="24" customHeight="1" x14ac:dyDescent="0.3">
      <c r="A1" s="31" t="s">
        <v>0</v>
      </c>
      <c r="B1" s="23"/>
      <c r="C1" s="23"/>
      <c r="D1" s="34" t="s">
        <v>1</v>
      </c>
      <c r="E1" s="23"/>
      <c r="F1" s="23"/>
      <c r="G1" s="23"/>
      <c r="H1" s="23"/>
      <c r="I1" s="23"/>
    </row>
    <row r="2" spans="1:9" ht="18" customHeight="1" x14ac:dyDescent="0.3">
      <c r="A2" s="30" t="s">
        <v>34</v>
      </c>
      <c r="B2" s="23"/>
      <c r="C2" s="23"/>
      <c r="D2" s="23"/>
      <c r="E2" s="23"/>
      <c r="F2" s="23"/>
      <c r="G2" s="23"/>
      <c r="H2" s="23"/>
      <c r="I2" s="23"/>
    </row>
    <row r="3" spans="1:9" ht="18" customHeight="1" x14ac:dyDescent="0.3">
      <c r="A3" s="32" t="s">
        <v>9</v>
      </c>
      <c r="B3" s="23"/>
      <c r="C3" s="23"/>
      <c r="D3" s="23"/>
      <c r="E3" s="23"/>
      <c r="F3" s="23"/>
      <c r="G3" s="23"/>
      <c r="H3" s="23"/>
      <c r="I3" s="23"/>
    </row>
    <row r="4" spans="1:9" ht="16.05" customHeight="1" x14ac:dyDescent="0.3">
      <c r="A4" s="33" t="s">
        <v>35</v>
      </c>
      <c r="B4" s="23"/>
      <c r="C4" s="23"/>
      <c r="D4" s="23"/>
      <c r="E4" s="23"/>
      <c r="F4" s="23"/>
      <c r="G4" s="23"/>
      <c r="H4" s="23"/>
      <c r="I4" s="23"/>
    </row>
    <row r="5" spans="1:9" ht="6" customHeight="1" x14ac:dyDescent="0.3"/>
    <row r="6" spans="1:9" ht="22.05" customHeight="1" x14ac:dyDescent="0.3">
      <c r="A6" s="4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43</v>
      </c>
      <c r="I6" s="4" t="s">
        <v>44</v>
      </c>
    </row>
    <row r="7" spans="1:9" ht="30" customHeight="1" x14ac:dyDescent="0.3">
      <c r="A7" s="12" t="s">
        <v>45</v>
      </c>
      <c r="B7" s="12" t="s">
        <v>46</v>
      </c>
      <c r="C7" s="14">
        <v>46273</v>
      </c>
      <c r="D7" s="14">
        <v>46304</v>
      </c>
      <c r="E7" s="15">
        <f>IF(D7&gt;=C7,NETWORKDAYS(C7,D7,Param!$B$10:$B$14)-1,-(NETWORKDAYS(D7,C7,Param!$B$10:$B$14)-1))</f>
        <v>23</v>
      </c>
      <c r="F7" s="16">
        <f>NETWORKDAYS(Param!$B$5,C7,Param!$B$10:$B$14)/NETWORKDAYS(Param!$B$5,D7,Param!$B$10:$B$14)</f>
        <v>0.30303030303030304</v>
      </c>
      <c r="G7" s="17">
        <f>MAX(0,NETWORKDAYS(Param!$B$4+1,D7,Param!$B$10:$B$14))</f>
        <v>4</v>
      </c>
      <c r="H7" s="12" t="s">
        <v>47</v>
      </c>
      <c r="I7" s="12" t="s">
        <v>48</v>
      </c>
    </row>
    <row r="8" spans="1:9" ht="30" customHeight="1" x14ac:dyDescent="0.3">
      <c r="A8" s="12" t="s">
        <v>49</v>
      </c>
      <c r="B8" s="12" t="s">
        <v>50</v>
      </c>
      <c r="C8" s="14">
        <v>46273</v>
      </c>
      <c r="D8" s="14">
        <v>46304</v>
      </c>
      <c r="E8" s="15">
        <f>IF(D8&gt;=C8,NETWORKDAYS(C8,D8,Param!$B$10:$B$14)-1,-(NETWORKDAYS(D8,C8,Param!$B$10:$B$14)-1))</f>
        <v>23</v>
      </c>
      <c r="F8" s="16">
        <f>NETWORKDAYS(Param!$B$5,C8,Param!$B$10:$B$14)/NETWORKDAYS(Param!$B$5,D8,Param!$B$10:$B$14)</f>
        <v>0.30303030303030304</v>
      </c>
      <c r="G8" s="17">
        <f>MAX(0,NETWORKDAYS(Param!$B$4+1,D8,Param!$B$10:$B$14))</f>
        <v>4</v>
      </c>
      <c r="H8" s="12" t="s">
        <v>47</v>
      </c>
      <c r="I8" s="12" t="s">
        <v>51</v>
      </c>
    </row>
    <row r="9" spans="1:9" ht="30" customHeight="1" x14ac:dyDescent="0.3">
      <c r="A9" s="12" t="s">
        <v>52</v>
      </c>
      <c r="B9" s="12" t="s">
        <v>53</v>
      </c>
      <c r="C9" s="14">
        <v>46294</v>
      </c>
      <c r="D9" s="14">
        <v>46294</v>
      </c>
      <c r="E9" s="15">
        <f>IF(D9&gt;=C9,NETWORKDAYS(C9,D9,Param!$B$10:$B$14)-1,-(NETWORKDAYS(D9,C9,Param!$B$10:$B$14)-1))</f>
        <v>0</v>
      </c>
      <c r="F9" s="16">
        <f>NETWORKDAYS(Param!$B$6,C9,Param!$B$10:$B$14)/NETWORKDAYS(Param!$B$6,D9,Param!$B$10:$B$14)</f>
        <v>1</v>
      </c>
      <c r="G9" s="17">
        <f>MAX(0,NETWORKDAYS(Param!$B$4+1,D9,Param!$B$10:$B$14))</f>
        <v>0</v>
      </c>
      <c r="H9" s="12" t="s">
        <v>54</v>
      </c>
      <c r="I9" s="12" t="s">
        <v>55</v>
      </c>
    </row>
    <row r="10" spans="1:9" ht="30" customHeight="1" x14ac:dyDescent="0.3">
      <c r="A10" s="12" t="s">
        <v>56</v>
      </c>
      <c r="B10" s="12" t="s">
        <v>57</v>
      </c>
      <c r="C10" s="14">
        <v>46329</v>
      </c>
      <c r="D10" s="14">
        <v>46302</v>
      </c>
      <c r="E10" s="15">
        <f>IF(D10&gt;=C10,NETWORKDAYS(C10,D10,Param!$B$10:$B$14)-1,-(NETWORKDAYS(D10,C10,Param!$B$10:$B$14)-1))</f>
        <v>-17</v>
      </c>
      <c r="F10" s="16">
        <f>NETWORKDAYS(Param!$B$7,C10,Param!$B$10:$B$14)/NETWORKDAYS(Param!$B$7,D10,Param!$B$10:$B$14)</f>
        <v>3.4285714285714284</v>
      </c>
      <c r="G10" s="17">
        <f>MAX(0,NETWORKDAYS(Param!$B$4+1,D10,Param!$B$10:$B$14))</f>
        <v>2</v>
      </c>
      <c r="H10" s="12" t="s">
        <v>47</v>
      </c>
      <c r="I10" s="12" t="s">
        <v>58</v>
      </c>
    </row>
    <row r="11" spans="1:9" ht="30" customHeight="1" x14ac:dyDescent="0.3">
      <c r="A11" s="12" t="s">
        <v>59</v>
      </c>
      <c r="B11" s="12" t="s">
        <v>60</v>
      </c>
      <c r="C11" s="14">
        <v>46329</v>
      </c>
      <c r="D11" s="14">
        <v>46304</v>
      </c>
      <c r="E11" s="15">
        <f>IF(D11&gt;=C11,NETWORKDAYS(C11,D11,Param!$B$10:$B$14)-1,-(NETWORKDAYS(D11,C11,Param!$B$10:$B$14)-1))</f>
        <v>-15</v>
      </c>
      <c r="F11" s="16">
        <f>NETWORKDAYS(Param!$B$7,C11,Param!$B$10:$B$14)/NETWORKDAYS(Param!$B$7,D11,Param!$B$10:$B$14)</f>
        <v>2.6666666666666665</v>
      </c>
      <c r="G11" s="17">
        <f>MAX(0,NETWORKDAYS(Param!$B$4+1,D11,Param!$B$10:$B$14))</f>
        <v>4</v>
      </c>
      <c r="H11" s="12" t="s">
        <v>47</v>
      </c>
      <c r="I11" s="12" t="s">
        <v>61</v>
      </c>
    </row>
    <row r="12" spans="1:9" ht="30" customHeight="1" x14ac:dyDescent="0.3">
      <c r="A12" s="12" t="s">
        <v>62</v>
      </c>
      <c r="B12" s="12" t="s">
        <v>63</v>
      </c>
      <c r="C12" s="14">
        <v>46329</v>
      </c>
      <c r="D12" s="14">
        <v>46304</v>
      </c>
      <c r="E12" s="15">
        <f>IF(D12&gt;=C12,NETWORKDAYS(C12,D12,Param!$B$10:$B$14)-1,-(NETWORKDAYS(D12,C12,Param!$B$10:$B$14)-1))</f>
        <v>-15</v>
      </c>
      <c r="F12" s="16">
        <f>NETWORKDAYS(Param!$B$7,C12,Param!$B$10:$B$14)/NETWORKDAYS(Param!$B$7,D12,Param!$B$10:$B$14)</f>
        <v>2.6666666666666665</v>
      </c>
      <c r="G12" s="17">
        <f>MAX(0,NETWORKDAYS(Param!$B$4+1,D12,Param!$B$10:$B$14))</f>
        <v>4</v>
      </c>
      <c r="H12" s="12" t="s">
        <v>64</v>
      </c>
      <c r="I12" s="12" t="s">
        <v>65</v>
      </c>
    </row>
    <row r="13" spans="1:9" ht="30" customHeight="1" x14ac:dyDescent="0.3">
      <c r="A13" s="12" t="s">
        <v>66</v>
      </c>
      <c r="B13" s="12" t="s">
        <v>67</v>
      </c>
      <c r="C13" s="14">
        <v>46329</v>
      </c>
      <c r="D13" s="14">
        <v>46315</v>
      </c>
      <c r="E13" s="15">
        <f>IF(D13&gt;=C13,NETWORKDAYS(C13,D13,Param!$B$10:$B$14)-1,-(NETWORKDAYS(D13,C13,Param!$B$10:$B$14)-1))</f>
        <v>-9</v>
      </c>
      <c r="F13" s="16">
        <f>NETWORKDAYS(Param!$B$7,C13,Param!$B$10:$B$14)/NETWORKDAYS(Param!$B$7,D13,Param!$B$10:$B$14)</f>
        <v>1.6</v>
      </c>
      <c r="G13" s="17">
        <f>MAX(0,NETWORKDAYS(Param!$B$4+1,D13,Param!$B$10:$B$14))</f>
        <v>10</v>
      </c>
      <c r="H13" s="12" t="s">
        <v>54</v>
      </c>
      <c r="I13" s="12" t="s">
        <v>68</v>
      </c>
    </row>
    <row r="14" spans="1:9" ht="30" customHeight="1" x14ac:dyDescent="0.3">
      <c r="A14" s="12" t="s">
        <v>69</v>
      </c>
      <c r="B14" s="12" t="s">
        <v>70</v>
      </c>
      <c r="C14" s="14">
        <v>46329</v>
      </c>
      <c r="D14" s="14">
        <v>46318</v>
      </c>
      <c r="E14" s="15">
        <f>IF(D14&gt;=C14,NETWORKDAYS(C14,D14,Param!$B$10:$B$14)-1,-(NETWORKDAYS(D14,C14,Param!$B$10:$B$14)-1))</f>
        <v>-6</v>
      </c>
      <c r="F14" s="16">
        <f>NETWORKDAYS(Param!$B$7,C14,Param!$B$10:$B$14)/NETWORKDAYS(Param!$B$7,D14,Param!$B$10:$B$14)</f>
        <v>1.3333333333333333</v>
      </c>
      <c r="G14" s="17">
        <f>MAX(0,NETWORKDAYS(Param!$B$4+1,D14,Param!$B$10:$B$14))</f>
        <v>13</v>
      </c>
      <c r="H14" s="12" t="s">
        <v>71</v>
      </c>
      <c r="I14" s="12" t="s">
        <v>72</v>
      </c>
    </row>
    <row r="15" spans="1:9" ht="30" customHeight="1" x14ac:dyDescent="0.3">
      <c r="A15" s="12" t="s">
        <v>73</v>
      </c>
      <c r="B15" s="12" t="s">
        <v>74</v>
      </c>
      <c r="C15" s="14">
        <v>46329</v>
      </c>
      <c r="D15" s="14">
        <v>46318</v>
      </c>
      <c r="E15" s="15">
        <f>IF(D15&gt;=C15,NETWORKDAYS(C15,D15,Param!$B$10:$B$14)-1,-(NETWORKDAYS(D15,C15,Param!$B$10:$B$14)-1))</f>
        <v>-6</v>
      </c>
      <c r="F15" s="16">
        <f>NETWORKDAYS(Param!$B$7,C15,Param!$B$10:$B$14)/NETWORKDAYS(Param!$B$7,D15,Param!$B$10:$B$14)</f>
        <v>1.3333333333333333</v>
      </c>
      <c r="G15" s="17">
        <f>MAX(0,NETWORKDAYS(Param!$B$4+1,D15,Param!$B$10:$B$14))</f>
        <v>13</v>
      </c>
      <c r="H15" s="12" t="s">
        <v>54</v>
      </c>
      <c r="I15" s="12" t="s">
        <v>75</v>
      </c>
    </row>
    <row r="16" spans="1:9" ht="30" customHeight="1" x14ac:dyDescent="0.3">
      <c r="A16" s="12" t="s">
        <v>76</v>
      </c>
      <c r="B16" s="12" t="s">
        <v>77</v>
      </c>
      <c r="C16" s="14">
        <v>46329</v>
      </c>
      <c r="D16" s="14">
        <v>46318</v>
      </c>
      <c r="E16" s="15">
        <f>IF(D16&gt;=C16,NETWORKDAYS(C16,D16,Param!$B$10:$B$14)-1,-(NETWORKDAYS(D16,C16,Param!$B$10:$B$14)-1))</f>
        <v>-6</v>
      </c>
      <c r="F16" s="16">
        <f>NETWORKDAYS(Param!$B$7,C16,Param!$B$10:$B$14)/NETWORKDAYS(Param!$B$7,D16,Param!$B$10:$B$14)</f>
        <v>1.3333333333333333</v>
      </c>
      <c r="G16" s="17">
        <f>MAX(0,NETWORKDAYS(Param!$B$4+1,D16,Param!$B$10:$B$14))</f>
        <v>13</v>
      </c>
      <c r="H16" s="12" t="s">
        <v>23</v>
      </c>
      <c r="I16" s="12" t="s">
        <v>78</v>
      </c>
    </row>
    <row r="17" spans="1:9" ht="30" customHeight="1" x14ac:dyDescent="0.3">
      <c r="A17" s="12" t="s">
        <v>79</v>
      </c>
      <c r="B17" s="12" t="s">
        <v>80</v>
      </c>
      <c r="C17" s="14">
        <v>46329</v>
      </c>
      <c r="D17" s="14">
        <v>46325</v>
      </c>
      <c r="E17" s="15">
        <f>IF(D17&gt;=C17,NETWORKDAYS(C17,D17,Param!$B$10:$B$14)-1,-(NETWORKDAYS(D17,C17,Param!$B$10:$B$14)-1))</f>
        <v>-1</v>
      </c>
      <c r="F17" s="16">
        <f>NETWORKDAYS(Param!$B$7,C17,Param!$B$10:$B$14)/NETWORKDAYS(Param!$B$7,D17,Param!$B$10:$B$14)</f>
        <v>1.0434782608695652</v>
      </c>
      <c r="G17" s="17">
        <f>MAX(0,NETWORKDAYS(Param!$B$4+1,D17,Param!$B$10:$B$14))</f>
        <v>18</v>
      </c>
      <c r="H17" s="12" t="s">
        <v>47</v>
      </c>
      <c r="I17" s="12" t="s">
        <v>81</v>
      </c>
    </row>
    <row r="18" spans="1:9" ht="30" customHeight="1" x14ac:dyDescent="0.3">
      <c r="A18" s="12" t="s">
        <v>82</v>
      </c>
      <c r="B18" s="12" t="s">
        <v>83</v>
      </c>
      <c r="C18" s="14">
        <v>46329</v>
      </c>
      <c r="D18" s="14">
        <v>46325</v>
      </c>
      <c r="E18" s="15">
        <f>IF(D18&gt;=C18,NETWORKDAYS(C18,D18,Param!$B$10:$B$14)-1,-(NETWORKDAYS(D18,C18,Param!$B$10:$B$14)-1))</f>
        <v>-1</v>
      </c>
      <c r="F18" s="16">
        <f>NETWORKDAYS(Param!$B$7,C18,Param!$B$10:$B$14)/NETWORKDAYS(Param!$B$7,D18,Param!$B$10:$B$14)</f>
        <v>1.0434782608695652</v>
      </c>
      <c r="G18" s="17">
        <f>MAX(0,NETWORKDAYS(Param!$B$4+1,D18,Param!$B$10:$B$14))</f>
        <v>18</v>
      </c>
      <c r="H18" s="12" t="s">
        <v>54</v>
      </c>
      <c r="I18" s="12" t="s">
        <v>84</v>
      </c>
    </row>
    <row r="19" spans="1:9" ht="30" customHeight="1" x14ac:dyDescent="0.3">
      <c r="A19" s="12" t="s">
        <v>85</v>
      </c>
      <c r="B19" s="12" t="s">
        <v>86</v>
      </c>
      <c r="C19" s="14">
        <v>46329</v>
      </c>
      <c r="D19" s="14">
        <v>46325</v>
      </c>
      <c r="E19" s="15">
        <f>IF(D19&gt;=C19,NETWORKDAYS(C19,D19,Param!$B$10:$B$14)-1,-(NETWORKDAYS(D19,C19,Param!$B$10:$B$14)-1))</f>
        <v>-1</v>
      </c>
      <c r="F19" s="16">
        <f>NETWORKDAYS(Param!$B$7,C19,Param!$B$10:$B$14)/NETWORKDAYS(Param!$B$7,D19,Param!$B$10:$B$14)</f>
        <v>1.0434782608695652</v>
      </c>
      <c r="G19" s="17">
        <f>MAX(0,NETWORKDAYS(Param!$B$4+1,D19,Param!$B$10:$B$14))</f>
        <v>18</v>
      </c>
      <c r="H19" s="12" t="s">
        <v>23</v>
      </c>
      <c r="I19" s="12" t="s">
        <v>87</v>
      </c>
    </row>
    <row r="20" spans="1:9" ht="30" customHeight="1" x14ac:dyDescent="0.3">
      <c r="A20" s="12" t="s">
        <v>88</v>
      </c>
      <c r="B20" s="12" t="s">
        <v>89</v>
      </c>
      <c r="C20" s="14">
        <v>46329</v>
      </c>
      <c r="D20" s="14">
        <v>46329</v>
      </c>
      <c r="E20" s="15">
        <f>IF(D20&gt;=C20,NETWORKDAYS(C20,D20,Param!$B$10:$B$14)-1,-(NETWORKDAYS(D20,C20,Param!$B$10:$B$14)-1))</f>
        <v>0</v>
      </c>
      <c r="F20" s="16">
        <f>NETWORKDAYS(Param!$B$7,C20,Param!$B$10:$B$14)/NETWORKDAYS(Param!$B$7,D20,Param!$B$10:$B$14)</f>
        <v>1</v>
      </c>
      <c r="G20" s="17">
        <f>MAX(0,NETWORKDAYS(Param!$B$4+1,D20,Param!$B$10:$B$14))</f>
        <v>19</v>
      </c>
      <c r="H20" s="12" t="s">
        <v>23</v>
      </c>
      <c r="I20" s="12" t="s">
        <v>90</v>
      </c>
    </row>
    <row r="21" spans="1:9" ht="30" customHeight="1" x14ac:dyDescent="0.3">
      <c r="A21" s="12" t="s">
        <v>91</v>
      </c>
      <c r="B21" s="12" t="s">
        <v>92</v>
      </c>
      <c r="C21" s="14">
        <v>46329</v>
      </c>
      <c r="D21" s="14">
        <v>46329</v>
      </c>
      <c r="E21" s="15">
        <f>IF(D21&gt;=C21,NETWORKDAYS(C21,D21,Param!$B$10:$B$14)-1,-(NETWORKDAYS(D21,C21,Param!$B$10:$B$14)-1))</f>
        <v>0</v>
      </c>
      <c r="F21" s="16">
        <f>NETWORKDAYS(Param!$B$7,C21,Param!$B$10:$B$14)/NETWORKDAYS(Param!$B$7,D21,Param!$B$10:$B$14)</f>
        <v>1</v>
      </c>
      <c r="G21" s="17">
        <f>MAX(0,NETWORKDAYS(Param!$B$4+1,D21,Param!$B$10:$B$14))</f>
        <v>19</v>
      </c>
      <c r="H21" s="12" t="s">
        <v>71</v>
      </c>
      <c r="I21" s="12" t="s">
        <v>93</v>
      </c>
    </row>
    <row r="22" spans="1:9" ht="30" customHeight="1" x14ac:dyDescent="0.3">
      <c r="A22" s="12" t="s">
        <v>94</v>
      </c>
      <c r="B22" s="12" t="s">
        <v>95</v>
      </c>
      <c r="C22" s="14">
        <v>46329</v>
      </c>
      <c r="D22" s="14">
        <v>46329</v>
      </c>
      <c r="E22" s="15">
        <f>IF(D22&gt;=C22,NETWORKDAYS(C22,D22,Param!$B$10:$B$14)-1,-(NETWORKDAYS(D22,C22,Param!$B$10:$B$14)-1))</f>
        <v>0</v>
      </c>
      <c r="F22" s="16">
        <f>NETWORKDAYS(Param!$B$7,C22,Param!$B$10:$B$14)/NETWORKDAYS(Param!$B$7,D22,Param!$B$10:$B$14)</f>
        <v>1</v>
      </c>
      <c r="G22" s="17">
        <f>MAX(0,NETWORKDAYS(Param!$B$4+1,D22,Param!$B$10:$B$14))</f>
        <v>19</v>
      </c>
      <c r="H22" s="12" t="s">
        <v>54</v>
      </c>
      <c r="I22" s="12" t="s">
        <v>96</v>
      </c>
    </row>
    <row r="23" spans="1:9" ht="30" customHeight="1" x14ac:dyDescent="0.3">
      <c r="A23" s="12" t="s">
        <v>97</v>
      </c>
      <c r="B23" s="12" t="s">
        <v>98</v>
      </c>
      <c r="C23" s="14">
        <v>46329</v>
      </c>
      <c r="D23" s="14">
        <v>46329</v>
      </c>
      <c r="E23" s="15">
        <f>IF(D23&gt;=C23,NETWORKDAYS(C23,D23,Param!$B$10:$B$14)-1,-(NETWORKDAYS(D23,C23,Param!$B$10:$B$14)-1))</f>
        <v>0</v>
      </c>
      <c r="F23" s="16">
        <f>NETWORKDAYS(Param!$B$7,C23,Param!$B$10:$B$14)/NETWORKDAYS(Param!$B$7,D23,Param!$B$10:$B$14)</f>
        <v>1</v>
      </c>
      <c r="G23" s="17">
        <f>MAX(0,NETWORKDAYS(Param!$B$4+1,D23,Param!$B$10:$B$14))</f>
        <v>19</v>
      </c>
      <c r="H23" s="12" t="s">
        <v>64</v>
      </c>
      <c r="I23" s="12" t="s">
        <v>99</v>
      </c>
    </row>
    <row r="24" spans="1:9" ht="30" customHeight="1" x14ac:dyDescent="0.3">
      <c r="A24" s="12" t="s">
        <v>100</v>
      </c>
      <c r="B24" s="12" t="s">
        <v>101</v>
      </c>
      <c r="C24" s="14">
        <v>46329</v>
      </c>
      <c r="D24" s="14">
        <v>46329</v>
      </c>
      <c r="E24" s="15">
        <f>IF(D24&gt;=C24,NETWORKDAYS(C24,D24,Param!$B$10:$B$14)-1,-(NETWORKDAYS(D24,C24,Param!$B$10:$B$14)-1))</f>
        <v>0</v>
      </c>
      <c r="F24" s="16">
        <f>NETWORKDAYS(Param!$B$7,C24,Param!$B$10:$B$14)/NETWORKDAYS(Param!$B$7,D24,Param!$B$10:$B$14)</f>
        <v>1</v>
      </c>
      <c r="G24" s="17">
        <f>MAX(0,NETWORKDAYS(Param!$B$4+1,D24,Param!$B$10:$B$14))</f>
        <v>19</v>
      </c>
      <c r="H24" s="12" t="s">
        <v>54</v>
      </c>
      <c r="I24" s="12" t="s">
        <v>102</v>
      </c>
    </row>
    <row r="25" spans="1:9" ht="30" customHeight="1" x14ac:dyDescent="0.3">
      <c r="A25" s="12" t="s">
        <v>103</v>
      </c>
      <c r="B25" s="12" t="s">
        <v>104</v>
      </c>
      <c r="C25" s="14">
        <v>46343</v>
      </c>
      <c r="D25" s="14">
        <v>46343</v>
      </c>
      <c r="E25" s="15">
        <f>IF(D25&gt;=C25,NETWORKDAYS(C25,D25,Param!$B$10:$B$14)-1,-(NETWORKDAYS(D25,C25,Param!$B$10:$B$14)-1))</f>
        <v>0</v>
      </c>
      <c r="F25" s="16">
        <f>NETWORKDAYS(Param!$B$7,C25,Param!$B$10:$B$14)/NETWORKDAYS(Param!$B$7,D25,Param!$B$10:$B$14)</f>
        <v>1</v>
      </c>
      <c r="G25" s="17">
        <f>MAX(0,NETWORKDAYS(Param!$B$4+1,D25,Param!$B$10:$B$14))</f>
        <v>29</v>
      </c>
      <c r="H25" s="12" t="s">
        <v>54</v>
      </c>
      <c r="I25" s="12" t="s">
        <v>105</v>
      </c>
    </row>
    <row r="26" spans="1:9" ht="30" customHeight="1" x14ac:dyDescent="0.3">
      <c r="A26" s="12" t="s">
        <v>106</v>
      </c>
      <c r="B26" s="12" t="s">
        <v>107</v>
      </c>
      <c r="C26" s="14">
        <v>46350</v>
      </c>
      <c r="D26" s="14">
        <v>46350</v>
      </c>
      <c r="E26" s="15">
        <f>IF(D26&gt;=C26,NETWORKDAYS(C26,D26,Param!$B$10:$B$14)-1,-(NETWORKDAYS(D26,C26,Param!$B$10:$B$14)-1))</f>
        <v>0</v>
      </c>
      <c r="F26" s="16">
        <f>NETWORKDAYS(Param!$B$7,C26,Param!$B$10:$B$14)/NETWORKDAYS(Param!$B$7,D26,Param!$B$10:$B$14)</f>
        <v>1</v>
      </c>
      <c r="G26" s="17">
        <f>MAX(0,NETWORKDAYS(Param!$B$4+1,D26,Param!$B$10:$B$14))</f>
        <v>33</v>
      </c>
      <c r="H26" s="12" t="s">
        <v>54</v>
      </c>
      <c r="I26" s="12" t="s">
        <v>108</v>
      </c>
    </row>
    <row r="27" spans="1:9" ht="30" customHeight="1" x14ac:dyDescent="0.3">
      <c r="A27" s="12" t="s">
        <v>109</v>
      </c>
      <c r="B27" s="12" t="s">
        <v>110</v>
      </c>
      <c r="C27" s="14">
        <v>46357</v>
      </c>
      <c r="D27" s="14">
        <v>46357</v>
      </c>
      <c r="E27" s="15">
        <f>IF(D27&gt;=C27,NETWORKDAYS(C27,D27,Param!$B$10:$B$14)-1,-(NETWORKDAYS(D27,C27,Param!$B$10:$B$14)-1))</f>
        <v>0</v>
      </c>
      <c r="F27" s="16">
        <f>NETWORKDAYS(Param!$B$7,C27,Param!$B$10:$B$14)/NETWORKDAYS(Param!$B$7,D27,Param!$B$10:$B$14)</f>
        <v>1</v>
      </c>
      <c r="G27" s="17">
        <f>MAX(0,NETWORKDAYS(Param!$B$4+1,D27,Param!$B$10:$B$14))</f>
        <v>38</v>
      </c>
      <c r="H27" s="12" t="s">
        <v>54</v>
      </c>
      <c r="I27" s="12" t="s">
        <v>111</v>
      </c>
    </row>
    <row r="28" spans="1:9" ht="30" customHeight="1" x14ac:dyDescent="0.3">
      <c r="A28" s="12" t="s">
        <v>112</v>
      </c>
      <c r="B28" s="12" t="s">
        <v>113</v>
      </c>
      <c r="C28" s="14">
        <v>46371</v>
      </c>
      <c r="D28" s="14">
        <v>46371</v>
      </c>
      <c r="E28" s="15">
        <f>IF(D28&gt;=C28,NETWORKDAYS(C28,D28,Param!$B$10:$B$14)-1,-(NETWORKDAYS(D28,C28,Param!$B$10:$B$14)-1))</f>
        <v>0</v>
      </c>
      <c r="F28" s="16">
        <f>NETWORKDAYS(Param!$B$7,C28,Param!$B$10:$B$14)/NETWORKDAYS(Param!$B$7,D28,Param!$B$10:$B$14)</f>
        <v>1</v>
      </c>
      <c r="G28" s="17">
        <f>MAX(0,NETWORKDAYS(Param!$B$4+1,D28,Param!$B$10:$B$14))</f>
        <v>47</v>
      </c>
      <c r="H28" s="12" t="s">
        <v>54</v>
      </c>
      <c r="I28" s="12" t="s">
        <v>114</v>
      </c>
    </row>
    <row r="29" spans="1:9" ht="15" x14ac:dyDescent="0.3">
      <c r="A29" s="12"/>
      <c r="B29" s="12"/>
      <c r="C29" s="12"/>
      <c r="D29" s="12"/>
      <c r="E29" s="12"/>
      <c r="F29" s="12"/>
      <c r="G29" s="12"/>
      <c r="H29" s="12"/>
      <c r="I29" s="12"/>
    </row>
    <row r="30" spans="1:9" ht="15" x14ac:dyDescent="0.3">
      <c r="A30" s="12"/>
      <c r="B30" s="12"/>
      <c r="C30" s="12"/>
      <c r="D30" s="12"/>
      <c r="E30" s="12"/>
      <c r="F30" s="12"/>
      <c r="G30" s="12"/>
      <c r="H30" s="12"/>
      <c r="I30" s="12"/>
    </row>
    <row r="31" spans="1:9" ht="15" x14ac:dyDescent="0.3">
      <c r="A31" s="12"/>
      <c r="B31" s="12"/>
      <c r="C31" s="12"/>
      <c r="D31" s="12"/>
      <c r="E31" s="12"/>
      <c r="F31" s="12"/>
      <c r="G31" s="12"/>
      <c r="H31" s="12"/>
      <c r="I31" s="12"/>
    </row>
    <row r="32" spans="1:9" ht="15" x14ac:dyDescent="0.3">
      <c r="A32" s="12"/>
      <c r="B32" s="12"/>
      <c r="C32" s="12"/>
      <c r="D32" s="12"/>
      <c r="E32" s="12"/>
      <c r="F32" s="12"/>
      <c r="G32" s="12"/>
      <c r="H32" s="12"/>
      <c r="I32" s="12"/>
    </row>
  </sheetData>
  <autoFilter ref="A6:I32" xr:uid="{00000000-0009-0000-0000-000001000000}"/>
  <mergeCells count="5">
    <mergeCell ref="A2:I2"/>
    <mergeCell ref="A1:C1"/>
    <mergeCell ref="A3:I3"/>
    <mergeCell ref="A4:I4"/>
    <mergeCell ref="D1:I1"/>
  </mergeCells>
  <pageMargins left="0.4" right="0.4" top="0.7" bottom="0.7" header="0.3" footer="0.3"/>
  <pageSetup paperSize="9" fitToHeight="0" orientation="landscape"/>
  <headerFooter scaleWithDoc="0" alignWithMargins="0">
    <oddFooter>&amp;C&amp;"Segoe UI,Regular"&amp;8 &amp;KBBBBBBescritoriodeprojetos.com.br  | 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4"/>
  <sheetViews>
    <sheetView showGridLines="0" zoomScale="101" workbookViewId="0">
      <selection activeCell="C5" sqref="C5"/>
    </sheetView>
  </sheetViews>
  <sheetFormatPr defaultRowHeight="14.4" x14ac:dyDescent="0.3"/>
  <cols>
    <col min="1" max="1" width="46" customWidth="1"/>
    <col min="2" max="2" width="16" customWidth="1"/>
    <col min="3" max="3" width="42" customWidth="1"/>
  </cols>
  <sheetData>
    <row r="1" spans="1:3" x14ac:dyDescent="0.3">
      <c r="A1" t="s">
        <v>115</v>
      </c>
    </row>
    <row r="3" spans="1:3" x14ac:dyDescent="0.3">
      <c r="A3" s="3" t="s">
        <v>116</v>
      </c>
    </row>
    <row r="4" spans="1:3" x14ac:dyDescent="0.3">
      <c r="A4" s="2" t="s">
        <v>117</v>
      </c>
      <c r="B4" s="18">
        <v>46300</v>
      </c>
      <c r="C4" s="2" t="s">
        <v>118</v>
      </c>
    </row>
    <row r="5" spans="1:3" x14ac:dyDescent="0.3">
      <c r="A5" s="2" t="s">
        <v>119</v>
      </c>
      <c r="B5" s="18">
        <v>46259</v>
      </c>
      <c r="C5" s="2" t="s">
        <v>120</v>
      </c>
    </row>
    <row r="6" spans="1:3" x14ac:dyDescent="0.3">
      <c r="A6" s="2" t="s">
        <v>121</v>
      </c>
      <c r="B6" s="18">
        <v>46280</v>
      </c>
      <c r="C6" s="2" t="s">
        <v>120</v>
      </c>
    </row>
    <row r="7" spans="1:3" x14ac:dyDescent="0.3">
      <c r="A7" s="2" t="s">
        <v>122</v>
      </c>
      <c r="B7" s="18">
        <v>46294</v>
      </c>
      <c r="C7" s="2" t="s">
        <v>123</v>
      </c>
    </row>
    <row r="9" spans="1:3" x14ac:dyDescent="0.3">
      <c r="A9" s="3" t="s">
        <v>124</v>
      </c>
    </row>
    <row r="10" spans="1:3" x14ac:dyDescent="0.3">
      <c r="A10" s="2" t="s">
        <v>125</v>
      </c>
      <c r="B10" s="18">
        <v>46272</v>
      </c>
      <c r="C10" s="2" t="s">
        <v>126</v>
      </c>
    </row>
    <row r="11" spans="1:3" x14ac:dyDescent="0.3">
      <c r="A11" s="2" t="s">
        <v>127</v>
      </c>
      <c r="B11" s="18">
        <v>46307</v>
      </c>
      <c r="C11" s="2" t="s">
        <v>126</v>
      </c>
    </row>
    <row r="12" spans="1:3" x14ac:dyDescent="0.3">
      <c r="A12" s="2" t="s">
        <v>128</v>
      </c>
      <c r="B12" s="18">
        <v>46328</v>
      </c>
      <c r="C12" s="2" t="s">
        <v>126</v>
      </c>
    </row>
    <row r="13" spans="1:3" x14ac:dyDescent="0.3">
      <c r="A13" s="2" t="s">
        <v>129</v>
      </c>
      <c r="B13" s="18">
        <v>46346</v>
      </c>
      <c r="C13" s="2" t="s">
        <v>126</v>
      </c>
    </row>
    <row r="14" spans="1:3" x14ac:dyDescent="0.3">
      <c r="A14" s="2" t="s">
        <v>130</v>
      </c>
      <c r="B14" s="18">
        <v>46364</v>
      </c>
      <c r="C14" s="2" t="s">
        <v>131</v>
      </c>
    </row>
  </sheetData>
  <pageMargins left="0.4" right="0.4" top="0.7" bottom="0.7" header="0.3" footer="0.3"/>
  <pageSetup paperSize="9" orientation="portrait"/>
  <headerFooter scaleWithDoc="0" alignWithMargins="0">
    <oddFooter>&amp;C&amp;"Segoe UI,Regular"&amp;8 &amp;KBBBBBBescritoriodeprojetos.com.br  | 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6"/>
  <sheetViews>
    <sheetView showGridLines="0" workbookViewId="0"/>
  </sheetViews>
  <sheetFormatPr defaultRowHeight="14.4" x14ac:dyDescent="0.3"/>
  <cols>
    <col min="1" max="1" width="45" customWidth="1"/>
    <col min="2" max="2" width="65" customWidth="1"/>
  </cols>
  <sheetData>
    <row r="1" spans="1:2" ht="15.6" x14ac:dyDescent="0.3">
      <c r="A1" s="5" t="s">
        <v>132</v>
      </c>
    </row>
    <row r="3" spans="1:2" x14ac:dyDescent="0.3">
      <c r="A3" s="3" t="s">
        <v>133</v>
      </c>
    </row>
    <row r="4" spans="1:2" x14ac:dyDescent="0.3">
      <c r="A4" s="2" t="s">
        <v>134</v>
      </c>
      <c r="B4" s="6" t="s">
        <v>135</v>
      </c>
    </row>
    <row r="6" spans="1:2" x14ac:dyDescent="0.3">
      <c r="A6" s="3" t="s">
        <v>136</v>
      </c>
    </row>
    <row r="7" spans="1:2" x14ac:dyDescent="0.3">
      <c r="A7" s="2" t="s">
        <v>137</v>
      </c>
      <c r="B7" s="6" t="s">
        <v>138</v>
      </c>
    </row>
    <row r="9" spans="1:2" x14ac:dyDescent="0.3">
      <c r="A9" s="3" t="s">
        <v>139</v>
      </c>
    </row>
    <row r="10" spans="1:2" x14ac:dyDescent="0.3">
      <c r="A10" s="2" t="s">
        <v>140</v>
      </c>
      <c r="B10" s="2" t="s">
        <v>141</v>
      </c>
    </row>
    <row r="11" spans="1:2" x14ac:dyDescent="0.3">
      <c r="A11" s="2" t="s">
        <v>142</v>
      </c>
      <c r="B11" s="2" t="s">
        <v>143</v>
      </c>
    </row>
    <row r="12" spans="1:2" x14ac:dyDescent="0.3">
      <c r="A12" s="2" t="s">
        <v>144</v>
      </c>
      <c r="B12" s="2" t="s">
        <v>145</v>
      </c>
    </row>
    <row r="13" spans="1:2" x14ac:dyDescent="0.3">
      <c r="A13" s="2" t="s">
        <v>146</v>
      </c>
      <c r="B13" s="2" t="s">
        <v>147</v>
      </c>
    </row>
    <row r="14" spans="1:2" x14ac:dyDescent="0.3">
      <c r="A14" s="2" t="s">
        <v>148</v>
      </c>
      <c r="B14" s="6" t="s">
        <v>149</v>
      </c>
    </row>
    <row r="16" spans="1:2" x14ac:dyDescent="0.3">
      <c r="A16" s="7" t="s">
        <v>150</v>
      </c>
    </row>
  </sheetData>
  <hyperlinks>
    <hyperlink ref="B14" r:id="rId1" xr:uid="{00000000-0004-0000-0300-000000000000}"/>
  </hyperlinks>
  <pageMargins left="0.4" right="0.4" top="0.7" bottom="0.7" header="0.3" footer="0.3"/>
  <pageSetup paperSize="9" orientation="portrait"/>
  <headerFooter scaleWithDoc="0" alignWithMargins="0">
    <oddFooter>&amp;C&amp;"Segoe UI,Regular"&amp;8 &amp;KBBBBBBescritoriodeprojetos.com.br  | 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26"/>
  <sheetViews>
    <sheetView showGridLines="0" workbookViewId="0"/>
  </sheetViews>
  <sheetFormatPr defaultRowHeight="14.4" x14ac:dyDescent="0.3"/>
  <cols>
    <col min="1" max="2" width="50" customWidth="1"/>
    <col min="3" max="6" width="1" customWidth="1"/>
  </cols>
  <sheetData>
    <row r="1" spans="1:2" ht="21" customHeight="1" x14ac:dyDescent="0.35">
      <c r="A1" s="1" t="s">
        <v>151</v>
      </c>
    </row>
    <row r="2" spans="1:2" x14ac:dyDescent="0.3">
      <c r="A2" s="2"/>
    </row>
    <row r="3" spans="1:2" ht="21" customHeight="1" x14ac:dyDescent="0.3">
      <c r="A3" s="3" t="s">
        <v>152</v>
      </c>
    </row>
    <row r="4" spans="1:2" ht="21" customHeight="1" x14ac:dyDescent="0.3">
      <c r="A4" s="2" t="s">
        <v>153</v>
      </c>
    </row>
    <row r="5" spans="1:2" x14ac:dyDescent="0.3">
      <c r="A5" s="2"/>
    </row>
    <row r="6" spans="1:2" ht="21" customHeight="1" x14ac:dyDescent="0.3">
      <c r="A6" s="3" t="s">
        <v>154</v>
      </c>
    </row>
    <row r="7" spans="1:2" ht="21" customHeight="1" x14ac:dyDescent="0.3">
      <c r="A7" s="2" t="s">
        <v>155</v>
      </c>
    </row>
    <row r="8" spans="1:2" ht="21" customHeight="1" x14ac:dyDescent="0.3">
      <c r="A8" s="2" t="s">
        <v>156</v>
      </c>
    </row>
    <row r="9" spans="1:2" ht="21" customHeight="1" x14ac:dyDescent="0.3">
      <c r="A9" s="2" t="s">
        <v>157</v>
      </c>
    </row>
    <row r="10" spans="1:2" x14ac:dyDescent="0.3">
      <c r="A10" s="2"/>
    </row>
    <row r="11" spans="1:2" ht="21" customHeight="1" x14ac:dyDescent="0.3">
      <c r="A11" s="3" t="s">
        <v>158</v>
      </c>
    </row>
    <row r="12" spans="1:2" ht="21" customHeight="1" x14ac:dyDescent="0.3">
      <c r="A12" s="2" t="s">
        <v>15</v>
      </c>
      <c r="B12" s="2" t="s">
        <v>159</v>
      </c>
    </row>
    <row r="13" spans="1:2" ht="21" customHeight="1" x14ac:dyDescent="0.3">
      <c r="A13" s="2" t="s">
        <v>11</v>
      </c>
      <c r="B13" s="2" t="s">
        <v>160</v>
      </c>
    </row>
    <row r="14" spans="1:2" ht="21" customHeight="1" x14ac:dyDescent="0.3">
      <c r="A14" s="2" t="s">
        <v>9</v>
      </c>
      <c r="B14" s="2" t="s">
        <v>161</v>
      </c>
    </row>
    <row r="15" spans="1:2" ht="21" customHeight="1" x14ac:dyDescent="0.3">
      <c r="A15" s="2" t="s">
        <v>13</v>
      </c>
      <c r="B15" s="2" t="s">
        <v>162</v>
      </c>
    </row>
    <row r="16" spans="1:2" x14ac:dyDescent="0.3">
      <c r="A16" s="2"/>
    </row>
    <row r="17" spans="1:2" ht="21" customHeight="1" x14ac:dyDescent="0.3">
      <c r="A17" s="3" t="s">
        <v>163</v>
      </c>
    </row>
    <row r="18" spans="1:2" ht="21" customHeight="1" x14ac:dyDescent="0.3">
      <c r="A18" s="2" t="s">
        <v>36</v>
      </c>
      <c r="B18" s="2" t="s">
        <v>164</v>
      </c>
    </row>
    <row r="19" spans="1:2" ht="21" customHeight="1" x14ac:dyDescent="0.3">
      <c r="A19" s="2" t="s">
        <v>37</v>
      </c>
      <c r="B19" s="2" t="s">
        <v>165</v>
      </c>
    </row>
    <row r="20" spans="1:2" ht="21" customHeight="1" x14ac:dyDescent="0.3">
      <c r="A20" s="2" t="s">
        <v>38</v>
      </c>
      <c r="B20" s="2" t="s">
        <v>166</v>
      </c>
    </row>
    <row r="21" spans="1:2" ht="21" customHeight="1" x14ac:dyDescent="0.3">
      <c r="A21" s="2" t="s">
        <v>39</v>
      </c>
      <c r="B21" s="2" t="s">
        <v>167</v>
      </c>
    </row>
    <row r="22" spans="1:2" ht="21" customHeight="1" x14ac:dyDescent="0.3">
      <c r="A22" s="2" t="s">
        <v>40</v>
      </c>
      <c r="B22" s="2" t="s">
        <v>168</v>
      </c>
    </row>
    <row r="23" spans="1:2" ht="21" customHeight="1" x14ac:dyDescent="0.3">
      <c r="A23" s="2" t="s">
        <v>41</v>
      </c>
      <c r="B23" s="2" t="s">
        <v>169</v>
      </c>
    </row>
    <row r="24" spans="1:2" ht="21" customHeight="1" x14ac:dyDescent="0.3">
      <c r="A24" s="2" t="s">
        <v>42</v>
      </c>
      <c r="B24" s="2" t="s">
        <v>170</v>
      </c>
    </row>
    <row r="25" spans="1:2" ht="21" customHeight="1" x14ac:dyDescent="0.3">
      <c r="A25" s="2" t="s">
        <v>43</v>
      </c>
      <c r="B25" s="2" t="s">
        <v>171</v>
      </c>
    </row>
    <row r="26" spans="1:2" ht="21" customHeight="1" x14ac:dyDescent="0.3">
      <c r="A26" s="2" t="s">
        <v>44</v>
      </c>
      <c r="B26" s="2" t="s">
        <v>172</v>
      </c>
    </row>
  </sheetData>
  <pageMargins left="0.4" right="0.4" top="0.7" bottom="0.7" header="0.3" footer="0.3"/>
  <pageSetup paperSize="9" orientation="portrait"/>
  <headerFooter scaleWithDoc="0" alignWithMargins="0">
    <oddFooter>&amp;C&amp;"Segoe UI,Regular"&amp;8 &amp;KBBBBBBescritoriodeprojetos.com.br  | 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Capa</vt:lpstr>
      <vt:lpstr>Previsões do Cronograma</vt:lpstr>
      <vt:lpstr>Param</vt:lpstr>
      <vt:lpstr>Recursos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Montes PMP</dc:creator>
  <cp:lastModifiedBy>Renato Douglas</cp:lastModifiedBy>
  <dcterms:created xsi:type="dcterms:W3CDTF">2026-03-24T23:32:34Z</dcterms:created>
  <dcterms:modified xsi:type="dcterms:W3CDTF">2026-10-05T23:10:28Z</dcterms:modified>
</cp:coreProperties>
</file>