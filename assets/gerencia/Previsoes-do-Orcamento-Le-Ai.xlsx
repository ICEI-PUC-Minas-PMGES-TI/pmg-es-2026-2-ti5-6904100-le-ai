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Renato\AppData\Local\Temp\claude\C--Users-Renato-Documents-Dev-GitHub-pmg-es-2026-2-ti5-6904100-le-ai\fe5dc8e9-217b-4b9e-a414-0fe4870be1d6\scratchpad\out\repositorio\"/>
    </mc:Choice>
  </mc:AlternateContent>
  <xr:revisionPtr revIDLastSave="0" documentId="8_{A62FD454-488D-4325-9B77-742B3AB0F70F}" xr6:coauthVersionLast="47" xr6:coauthVersionMax="47" xr10:uidLastSave="{00000000-0000-0000-0000-000000000000}"/>
  <bookViews>
    <workbookView xWindow="-108" yWindow="-108" windowWidth="23256" windowHeight="12456" tabRatio="805" xr2:uid="{00000000-000D-0000-FFFF-FFFF00000000}"/>
  </bookViews>
  <sheets>
    <sheet name="Capa" sheetId="14" r:id="rId1"/>
    <sheet name="Orcado" sheetId="8" r:id="rId2"/>
    <sheet name="Realizado" sheetId="12" r:id="rId3"/>
    <sheet name="Status" sheetId="13" r:id="rId4"/>
    <sheet name="Param" sheetId="10" r:id="rId5"/>
  </sheets>
  <externalReferences>
    <externalReference r:id="rId6"/>
    <externalReference r:id="rId7"/>
  </externalReferences>
  <definedNames>
    <definedName name="A" hidden="1">{"'TG'!$A$1:$L$37"}</definedName>
    <definedName name="Comprar">[1]Param!#REF!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Periodicidade">[2]Param!$AB$5:$AB$9</definedName>
    <definedName name="Status">[1]Param!#REF!</definedName>
    <definedName name="t" hidden="1">{"'TG'!$A$1:$L$37"}</definedName>
    <definedName name="VersaoExcel">[2]Param!$D$15:$E$15</definedName>
    <definedName name="VersaoSR">[2]Param!$C$24:$C$26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4" l="1"/>
  <c r="Q32" i="12"/>
  <c r="Q32" i="8"/>
  <c r="G23" i="12"/>
  <c r="F23" i="12"/>
  <c r="E23" i="12"/>
  <c r="Q23" i="12" s="1"/>
  <c r="Q23" i="8"/>
  <c r="I23" i="8"/>
  <c r="H23" i="8"/>
  <c r="G23" i="8"/>
  <c r="F23" i="8"/>
  <c r="E23" i="8"/>
  <c r="I22" i="8"/>
  <c r="H22" i="8"/>
  <c r="G22" i="8"/>
  <c r="G22" i="12" s="1"/>
  <c r="F22" i="8"/>
  <c r="F22" i="12" s="1"/>
  <c r="E22" i="8"/>
  <c r="I21" i="8"/>
  <c r="H21" i="8"/>
  <c r="G21" i="8"/>
  <c r="G21" i="12" s="1"/>
  <c r="F21" i="8"/>
  <c r="F21" i="12" s="1"/>
  <c r="E21" i="8"/>
  <c r="I20" i="8"/>
  <c r="H20" i="8"/>
  <c r="G20" i="8"/>
  <c r="G20" i="12" s="1"/>
  <c r="F20" i="8"/>
  <c r="F20" i="12" s="1"/>
  <c r="E20" i="8"/>
  <c r="I19" i="8"/>
  <c r="H19" i="8"/>
  <c r="G19" i="8"/>
  <c r="G19" i="12" s="1"/>
  <c r="F19" i="8"/>
  <c r="F19" i="12" s="1"/>
  <c r="E19" i="8"/>
  <c r="C21" i="10"/>
  <c r="C18" i="10"/>
  <c r="B31" i="12"/>
  <c r="B30" i="12"/>
  <c r="B29" i="12"/>
  <c r="B28" i="12"/>
  <c r="B27" i="12"/>
  <c r="B26" i="12"/>
  <c r="B25" i="12"/>
  <c r="B24" i="12"/>
  <c r="E22" i="12" l="1"/>
  <c r="Q22" i="12" s="1"/>
  <c r="Q22" i="8"/>
  <c r="E21" i="12"/>
  <c r="Q21" i="12" s="1"/>
  <c r="Q21" i="8"/>
  <c r="Q20" i="8"/>
  <c r="E20" i="12"/>
  <c r="Q20" i="12" s="1"/>
  <c r="E19" i="12"/>
  <c r="Q19" i="8"/>
  <c r="Q27" i="8"/>
  <c r="Q26" i="8"/>
  <c r="Q29" i="8"/>
  <c r="Q30" i="8"/>
  <c r="Q24" i="8"/>
  <c r="Q25" i="8"/>
  <c r="Q30" i="12"/>
  <c r="D5" i="12"/>
  <c r="D4" i="13" s="1"/>
  <c r="F4" i="13" s="1"/>
  <c r="E5" i="8"/>
  <c r="D5" i="8"/>
  <c r="C4" i="13" s="1"/>
  <c r="Q19" i="12" l="1"/>
  <c r="E5" i="12"/>
  <c r="Q31" i="12"/>
  <c r="Q25" i="12"/>
  <c r="Q31" i="8"/>
  <c r="Q28" i="8"/>
  <c r="Q27" i="12"/>
  <c r="Q26" i="12"/>
  <c r="Q29" i="12"/>
  <c r="Q28" i="12"/>
  <c r="Q24" i="12"/>
  <c r="B32" i="12"/>
  <c r="B23" i="12"/>
  <c r="B22" i="12"/>
  <c r="B21" i="12"/>
  <c r="B20" i="12"/>
  <c r="B19" i="12"/>
  <c r="B17" i="12"/>
  <c r="B15" i="12"/>
  <c r="B13" i="12"/>
  <c r="B11" i="12"/>
  <c r="B9" i="12"/>
  <c r="C4" i="8" l="1"/>
  <c r="C3" i="8"/>
  <c r="C4" i="12"/>
  <c r="E3" i="8"/>
  <c r="F3" i="8" s="1"/>
  <c r="C3" i="12"/>
  <c r="F3" i="12" l="1"/>
  <c r="G3" i="8"/>
  <c r="E3" i="12"/>
  <c r="G3" i="12" l="1"/>
  <c r="H3" i="8"/>
  <c r="B24" i="14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D20" i="14"/>
  <c r="C5" i="14"/>
  <c r="C6" i="14" s="1"/>
  <c r="C7" i="14" s="1"/>
  <c r="C8" i="14" s="1"/>
  <c r="I3" i="8" l="1"/>
  <c r="H3" i="12"/>
  <c r="B2" i="12"/>
  <c r="J3" i="8" l="1"/>
  <c r="I3" i="12"/>
  <c r="B5" i="13"/>
  <c r="F17" i="12"/>
  <c r="F15" i="12"/>
  <c r="F13" i="12"/>
  <c r="F11" i="12"/>
  <c r="F9" i="12"/>
  <c r="F4" i="12"/>
  <c r="D5" i="13" l="1"/>
  <c r="F5" i="13" s="1"/>
  <c r="C5" i="13"/>
  <c r="G4" i="12"/>
  <c r="H4" i="12" s="1"/>
  <c r="F5" i="12"/>
  <c r="B6" i="13"/>
  <c r="K3" i="8"/>
  <c r="J3" i="12"/>
  <c r="G11" i="12"/>
  <c r="H11" i="12" s="1"/>
  <c r="I11" i="12" s="1"/>
  <c r="J11" i="12" s="1"/>
  <c r="K11" i="12" s="1"/>
  <c r="L11" i="12" s="1"/>
  <c r="M11" i="12" s="1"/>
  <c r="N11" i="12" s="1"/>
  <c r="O11" i="12" s="1"/>
  <c r="P11" i="12" s="1"/>
  <c r="G9" i="12"/>
  <c r="G13" i="12"/>
  <c r="H13" i="12" s="1"/>
  <c r="I13" i="12" s="1"/>
  <c r="J13" i="12" s="1"/>
  <c r="K13" i="12" s="1"/>
  <c r="L13" i="12" s="1"/>
  <c r="M13" i="12" s="1"/>
  <c r="N13" i="12" s="1"/>
  <c r="O13" i="12" s="1"/>
  <c r="P13" i="12" s="1"/>
  <c r="G17" i="12"/>
  <c r="H17" i="12" s="1"/>
  <c r="I17" i="12" s="1"/>
  <c r="J17" i="12" s="1"/>
  <c r="K17" i="12" s="1"/>
  <c r="L17" i="12" s="1"/>
  <c r="M17" i="12" s="1"/>
  <c r="N17" i="12" s="1"/>
  <c r="O17" i="12" s="1"/>
  <c r="P17" i="12" s="1"/>
  <c r="G15" i="12"/>
  <c r="H15" i="12" s="1"/>
  <c r="I15" i="12" s="1"/>
  <c r="J15" i="12" s="1"/>
  <c r="K15" i="12" s="1"/>
  <c r="L15" i="12" s="1"/>
  <c r="M15" i="12" s="1"/>
  <c r="N15" i="12" s="1"/>
  <c r="O15" i="12" s="1"/>
  <c r="P15" i="12" s="1"/>
  <c r="D6" i="13" l="1"/>
  <c r="F6" i="13" s="1"/>
  <c r="H9" i="12"/>
  <c r="G5" i="12"/>
  <c r="B7" i="13"/>
  <c r="Q17" i="12"/>
  <c r="Q15" i="12"/>
  <c r="Q11" i="12"/>
  <c r="Q13" i="12"/>
  <c r="D6" i="12"/>
  <c r="E6" i="12" s="1"/>
  <c r="L3" i="8"/>
  <c r="K3" i="12"/>
  <c r="I4" i="12"/>
  <c r="F17" i="8"/>
  <c r="G16" i="8"/>
  <c r="H16" i="8" s="1"/>
  <c r="I16" i="8" s="1"/>
  <c r="J16" i="8" s="1"/>
  <c r="K16" i="8" s="1"/>
  <c r="L16" i="8" s="1"/>
  <c r="M16" i="8" s="1"/>
  <c r="N16" i="8" s="1"/>
  <c r="O16" i="8" s="1"/>
  <c r="P16" i="8" s="1"/>
  <c r="F15" i="8"/>
  <c r="G14" i="8"/>
  <c r="H14" i="8" s="1"/>
  <c r="I14" i="8" s="1"/>
  <c r="J14" i="8" s="1"/>
  <c r="K14" i="8" s="1"/>
  <c r="L14" i="8" s="1"/>
  <c r="M14" i="8" s="1"/>
  <c r="N14" i="8" s="1"/>
  <c r="O14" i="8" s="1"/>
  <c r="P14" i="8" s="1"/>
  <c r="D7" i="13" l="1"/>
  <c r="F7" i="13" s="1"/>
  <c r="H5" i="12"/>
  <c r="I9" i="12"/>
  <c r="B8" i="13"/>
  <c r="M3" i="8"/>
  <c r="L3" i="12"/>
  <c r="F6" i="12"/>
  <c r="J4" i="12"/>
  <c r="G15" i="8"/>
  <c r="H15" i="8" s="1"/>
  <c r="I15" i="8" s="1"/>
  <c r="J15" i="8" s="1"/>
  <c r="K15" i="8" s="1"/>
  <c r="L15" i="8" s="1"/>
  <c r="M15" i="8" s="1"/>
  <c r="N15" i="8" s="1"/>
  <c r="O15" i="8" s="1"/>
  <c r="P15" i="8" s="1"/>
  <c r="G17" i="8"/>
  <c r="H17" i="8" s="1"/>
  <c r="I17" i="8" s="1"/>
  <c r="J17" i="8" s="1"/>
  <c r="K17" i="8" s="1"/>
  <c r="L17" i="8" s="1"/>
  <c r="M17" i="8" s="1"/>
  <c r="N17" i="8" s="1"/>
  <c r="O17" i="8" s="1"/>
  <c r="P17" i="8" s="1"/>
  <c r="F13" i="8"/>
  <c r="G12" i="8"/>
  <c r="H12" i="8" s="1"/>
  <c r="I12" i="8" s="1"/>
  <c r="J12" i="8" s="1"/>
  <c r="K12" i="8" s="1"/>
  <c r="L12" i="8" s="1"/>
  <c r="M12" i="8" s="1"/>
  <c r="N12" i="8" s="1"/>
  <c r="O12" i="8" s="1"/>
  <c r="P12" i="8" s="1"/>
  <c r="F11" i="8"/>
  <c r="G10" i="8"/>
  <c r="H10" i="8" s="1"/>
  <c r="I10" i="8" s="1"/>
  <c r="J10" i="8" s="1"/>
  <c r="K10" i="8" s="1"/>
  <c r="L10" i="8" s="1"/>
  <c r="M10" i="8" s="1"/>
  <c r="N10" i="8" s="1"/>
  <c r="O10" i="8" s="1"/>
  <c r="P10" i="8" s="1"/>
  <c r="G8" i="8"/>
  <c r="H8" i="8" s="1"/>
  <c r="I8" i="8" s="1"/>
  <c r="J8" i="8" s="1"/>
  <c r="K8" i="8" s="1"/>
  <c r="L8" i="8" s="1"/>
  <c r="M8" i="8" s="1"/>
  <c r="N8" i="8" s="1"/>
  <c r="O8" i="8" s="1"/>
  <c r="P8" i="8" s="1"/>
  <c r="F9" i="8"/>
  <c r="F8" i="13" l="1"/>
  <c r="D8" i="13"/>
  <c r="I5" i="12"/>
  <c r="J9" i="12"/>
  <c r="J5" i="12" s="1"/>
  <c r="B9" i="13"/>
  <c r="G6" i="12"/>
  <c r="H6" i="12" s="1"/>
  <c r="F5" i="8"/>
  <c r="N3" i="8"/>
  <c r="M3" i="12"/>
  <c r="Q17" i="8"/>
  <c r="Q15" i="8"/>
  <c r="E4" i="13"/>
  <c r="K4" i="12"/>
  <c r="K9" i="12"/>
  <c r="K5" i="12" s="1"/>
  <c r="D6" i="8"/>
  <c r="G13" i="8"/>
  <c r="H13" i="8" s="1"/>
  <c r="I13" i="8" s="1"/>
  <c r="J13" i="8" s="1"/>
  <c r="K13" i="8" s="1"/>
  <c r="L13" i="8" s="1"/>
  <c r="M13" i="8" s="1"/>
  <c r="N13" i="8" s="1"/>
  <c r="O13" i="8" s="1"/>
  <c r="P13" i="8" s="1"/>
  <c r="G11" i="8"/>
  <c r="H11" i="8" s="1"/>
  <c r="I11" i="8" s="1"/>
  <c r="J11" i="8" s="1"/>
  <c r="K11" i="8" s="1"/>
  <c r="L11" i="8" s="1"/>
  <c r="M11" i="8" s="1"/>
  <c r="N11" i="8" s="1"/>
  <c r="O11" i="8" s="1"/>
  <c r="P11" i="8" s="1"/>
  <c r="G9" i="8"/>
  <c r="G4" i="13" l="1"/>
  <c r="H4" i="13"/>
  <c r="G8" i="13"/>
  <c r="H8" i="13"/>
  <c r="F9" i="13"/>
  <c r="D9" i="13"/>
  <c r="B10" i="13"/>
  <c r="G5" i="8"/>
  <c r="O3" i="8"/>
  <c r="N3" i="12"/>
  <c r="Q13" i="8"/>
  <c r="Q11" i="8"/>
  <c r="E5" i="13"/>
  <c r="L4" i="12"/>
  <c r="I6" i="12"/>
  <c r="L9" i="12"/>
  <c r="L5" i="12" s="1"/>
  <c r="E6" i="8"/>
  <c r="H9" i="8"/>
  <c r="H5" i="8" s="1"/>
  <c r="F4" i="8"/>
  <c r="H5" i="13" l="1"/>
  <c r="G5" i="13"/>
  <c r="G9" i="13"/>
  <c r="H9" i="13"/>
  <c r="F10" i="13"/>
  <c r="D10" i="13"/>
  <c r="C6" i="13"/>
  <c r="E6" i="13" s="1"/>
  <c r="C7" i="13"/>
  <c r="B11" i="13"/>
  <c r="P3" i="8"/>
  <c r="P3" i="12" s="1"/>
  <c r="O3" i="12"/>
  <c r="J6" i="12"/>
  <c r="G4" i="8"/>
  <c r="M9" i="12"/>
  <c r="M5" i="12" s="1"/>
  <c r="M4" i="12"/>
  <c r="N4" i="12" s="1"/>
  <c r="O4" i="12" s="1"/>
  <c r="P4" i="12" s="1"/>
  <c r="F6" i="8"/>
  <c r="I9" i="8"/>
  <c r="I5" i="8" s="1"/>
  <c r="G10" i="13" l="1"/>
  <c r="H10" i="13"/>
  <c r="G6" i="13"/>
  <c r="H6" i="13"/>
  <c r="F11" i="13"/>
  <c r="D11" i="13"/>
  <c r="C8" i="13"/>
  <c r="B12" i="13"/>
  <c r="K6" i="12"/>
  <c r="L6" i="12" s="1"/>
  <c r="N9" i="12"/>
  <c r="N5" i="12" s="1"/>
  <c r="E7" i="13"/>
  <c r="H4" i="8"/>
  <c r="G6" i="8"/>
  <c r="H6" i="8" s="1"/>
  <c r="J9" i="8"/>
  <c r="J5" i="8" s="1"/>
  <c r="G11" i="13" l="1"/>
  <c r="H11" i="13"/>
  <c r="F12" i="13"/>
  <c r="D12" i="13"/>
  <c r="G7" i="13"/>
  <c r="H7" i="13"/>
  <c r="B13" i="13"/>
  <c r="O9" i="12"/>
  <c r="O5" i="12" s="1"/>
  <c r="M6" i="12"/>
  <c r="I4" i="8"/>
  <c r="E8" i="13"/>
  <c r="I6" i="8"/>
  <c r="K9" i="8"/>
  <c r="K5" i="8" s="1"/>
  <c r="G12" i="13" l="1"/>
  <c r="H12" i="13"/>
  <c r="F13" i="13"/>
  <c r="D13" i="13"/>
  <c r="B14" i="13"/>
  <c r="C9" i="13"/>
  <c r="N6" i="12"/>
  <c r="P9" i="12"/>
  <c r="P5" i="12" s="1"/>
  <c r="D39" i="12" s="1"/>
  <c r="J4" i="8"/>
  <c r="C10" i="13" s="1"/>
  <c r="J6" i="8"/>
  <c r="L9" i="8"/>
  <c r="L5" i="8" s="1"/>
  <c r="G13" i="13" l="1"/>
  <c r="H13" i="13"/>
  <c r="F14" i="13"/>
  <c r="D14" i="13"/>
  <c r="B15" i="13"/>
  <c r="O6" i="12"/>
  <c r="Q9" i="12"/>
  <c r="K4" i="8"/>
  <c r="E9" i="13"/>
  <c r="K6" i="8"/>
  <c r="M9" i="8"/>
  <c r="M5" i="8" s="1"/>
  <c r="G14" i="13" l="1"/>
  <c r="H14" i="13"/>
  <c r="F15" i="13"/>
  <c r="D15" i="13"/>
  <c r="B16" i="13"/>
  <c r="C11" i="13"/>
  <c r="C12" i="13"/>
  <c r="N9" i="8"/>
  <c r="N5" i="8" s="1"/>
  <c r="E10" i="13"/>
  <c r="L4" i="8"/>
  <c r="L6" i="8"/>
  <c r="G15" i="13" l="1"/>
  <c r="H15" i="13"/>
  <c r="F16" i="13"/>
  <c r="D16" i="13"/>
  <c r="D17" i="13"/>
  <c r="Q5" i="12"/>
  <c r="P6" i="12"/>
  <c r="M6" i="8"/>
  <c r="O9" i="8"/>
  <c r="O5" i="8" s="1"/>
  <c r="M4" i="8"/>
  <c r="G16" i="13" l="1"/>
  <c r="H16" i="13"/>
  <c r="C13" i="13"/>
  <c r="N4" i="8"/>
  <c r="P9" i="8"/>
  <c r="P5" i="8" s="1"/>
  <c r="D39" i="8" s="1"/>
  <c r="N6" i="8"/>
  <c r="C14" i="13" l="1"/>
  <c r="O4" i="8"/>
  <c r="C16" i="13"/>
  <c r="E11" i="13"/>
  <c r="O6" i="8"/>
  <c r="Q9" i="8"/>
  <c r="P4" i="8" l="1"/>
  <c r="C15" i="13"/>
  <c r="C17" i="13" s="1"/>
  <c r="C18" i="13" s="1"/>
  <c r="E12" i="13"/>
  <c r="E13" i="13" l="1"/>
  <c r="Q5" i="8"/>
  <c r="P6" i="8"/>
  <c r="E14" i="13" l="1"/>
  <c r="E15" i="13" l="1"/>
  <c r="E16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Montes, PMP</author>
  </authors>
  <commentList>
    <comment ref="C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4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B1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Caso exista um crescimento no benefício. Para facilitar a entrada o crescimento está como default, o mesmo para todos os anos, mas, pode ser alterado incluindo manualmente.</t>
        </r>
      </text>
    </comment>
    <comment ref="C1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Montes, PMP</author>
  </authors>
  <commentList>
    <comment ref="C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5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  <comment ref="C1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Eduardo Montes, PMP:</t>
        </r>
        <r>
          <rPr>
            <sz val="9"/>
            <color indexed="81"/>
            <rFont val="Tahoma"/>
            <family val="2"/>
          </rPr>
          <t xml:space="preserve">
Explique o ganho financeiro e forma de cálculo</t>
        </r>
      </text>
    </comment>
  </commentList>
</comments>
</file>

<file path=xl/sharedStrings.xml><?xml version="1.0" encoding="utf-8"?>
<sst xmlns="http://schemas.openxmlformats.org/spreadsheetml/2006/main" count="201" uniqueCount="125">
  <si>
    <t>ROI</t>
  </si>
  <si>
    <t>Nome do Projeto</t>
  </si>
  <si>
    <t>Identificação do Projeto</t>
  </si>
  <si>
    <t>Taxa de Crescimento</t>
  </si>
  <si>
    <t>Explicação</t>
  </si>
  <si>
    <t>Instruções</t>
  </si>
  <si>
    <t>Ref.</t>
  </si>
  <si>
    <t>Passos</t>
  </si>
  <si>
    <t>Aba</t>
  </si>
  <si>
    <t>Respons</t>
  </si>
  <si>
    <t>Preencher as informações de identificação do projeto (Nome, Solicitante e Patrocionador)</t>
  </si>
  <si>
    <t>Tipo de Benefício</t>
  </si>
  <si>
    <t>Aumento de Produtividade</t>
  </si>
  <si>
    <t>Aumento da Capacidade Produtiva</t>
  </si>
  <si>
    <t>Redução do Turn-over</t>
  </si>
  <si>
    <t>Redução de retrabalho</t>
  </si>
  <si>
    <t>Redução dos custos da não qualidade</t>
  </si>
  <si>
    <t>Redução das reclamações dos clientes</t>
  </si>
  <si>
    <t>Aumento de Receita</t>
  </si>
  <si>
    <t>Redução dos custos</t>
  </si>
  <si>
    <t>Investimentos</t>
  </si>
  <si>
    <t>Custo</t>
  </si>
  <si>
    <t>Investimento Total</t>
  </si>
  <si>
    <t>Custo do Capital</t>
  </si>
  <si>
    <t>Indicadores Financeiros</t>
  </si>
  <si>
    <t>Retorno Requerido do Investimento</t>
  </si>
  <si>
    <t>Variável</t>
  </si>
  <si>
    <t>Domínio ou Valor</t>
  </si>
  <si>
    <t>Entre com o Custo do Capital</t>
  </si>
  <si>
    <t>Param</t>
  </si>
  <si>
    <t>PMO</t>
  </si>
  <si>
    <t>Mês</t>
  </si>
  <si>
    <t>Períodos</t>
  </si>
  <si>
    <t>Desvio %</t>
  </si>
  <si>
    <t>Realizado</t>
  </si>
  <si>
    <t>Total</t>
  </si>
  <si>
    <t>Orçado</t>
  </si>
  <si>
    <t>No Período (R$)</t>
  </si>
  <si>
    <t>Acumulado (R$)</t>
  </si>
  <si>
    <t>Desvio (R$)</t>
  </si>
  <si>
    <t>Investimento Acumulado</t>
  </si>
  <si>
    <t>Investimento c/ taxa de crescimento</t>
  </si>
  <si>
    <t>Para facilitar o cálculo do gasto baseado em uma taxa de crescimento.</t>
  </si>
  <si>
    <t>Gasto</t>
  </si>
  <si>
    <t>Gerente de Projetos</t>
  </si>
  <si>
    <t>Entre com o valor realizado mês a mês. Caso não necessitar registrar os detalhes, pode incluir o valor total na linha 39 [Investimento total]</t>
  </si>
  <si>
    <t>Capa</t>
  </si>
  <si>
    <t>Instruções, Histórico de Alterações e as Aprovações</t>
  </si>
  <si>
    <t>Parâmetros</t>
  </si>
  <si>
    <t>Parâmetros usados nas outras abas da planilha.</t>
  </si>
  <si>
    <t>Controle de Versões</t>
  </si>
  <si>
    <t>Versão</t>
  </si>
  <si>
    <t>Data</t>
  </si>
  <si>
    <t>Autor</t>
  </si>
  <si>
    <t>Notas da Revisão</t>
  </si>
  <si>
    <t>Aprovações</t>
  </si>
  <si>
    <t>Participante</t>
  </si>
  <si>
    <t>Assinatura</t>
  </si>
  <si>
    <t>Previsões de Orçamento</t>
  </si>
  <si>
    <t>Status</t>
  </si>
  <si>
    <t>Detalhamento dos investimentos realizados</t>
  </si>
  <si>
    <t>Detalhamento dos investimentos orçados</t>
  </si>
  <si>
    <t>Status comparando Orçado x Realizado</t>
  </si>
  <si>
    <t>Parametros a serem configurados inicialmente</t>
  </si>
  <si>
    <t>Projeto</t>
  </si>
  <si>
    <t>Nome do projeto</t>
  </si>
  <si>
    <t>Mês de início</t>
  </si>
  <si>
    <t>Patrocinador</t>
  </si>
  <si>
    <t>Preencher na coluna B o nome de cada Gasto (B7, B10, ...). No máximo 5, caso tiver mais de 5 agrupar os benefícios ou ajustar planilha. Veja na Aba Param - Coluna C - Tipos de gastos comuns em projetos</t>
  </si>
  <si>
    <t>Sempre que possível, esclareça como foi calculado o valor dos gastos (C7, C10, ...)</t>
  </si>
  <si>
    <t>Entrar com o valor dos gastos por ano (D9..M21), se preferir, entre com o valor do crescimento por ano (D8..M20) para todos os gastos</t>
  </si>
  <si>
    <t>Preenche na coluna B o nome dos custos (B29, B30)</t>
  </si>
  <si>
    <t>Sempre que possível, esclareça como foi calculado o valor dos custos (C29, C30)</t>
  </si>
  <si>
    <t>Entrar com o valor dos custos por ano (D27..M31)</t>
  </si>
  <si>
    <t>TOTAL</t>
  </si>
  <si>
    <t>Saldo Final</t>
  </si>
  <si>
    <t>Lê Ai</t>
  </si>
  <si>
    <t>Professores orientadores de TI V</t>
  </si>
  <si>
    <t>Data de status</t>
  </si>
  <si>
    <t>Último mês com realizado (nº do mês; 3 = outubro/2026)</t>
  </si>
  <si>
    <t>Bases das estimativas (TAP nº 01, item 4)</t>
  </si>
  <si>
    <t>Integrantes da equipe</t>
  </si>
  <si>
    <t>Horas semanais por integrante</t>
  </si>
  <si>
    <t>Valor-hora da equipe (R$)</t>
  </si>
  <si>
    <t>Professores orientadores</t>
  </si>
  <si>
    <t>Horas semanais de orientação por professor</t>
  </si>
  <si>
    <t>Valor-hora da orientação docente (R$)</t>
  </si>
  <si>
    <t>Valor de cada notebook (R$)</t>
  </si>
  <si>
    <t>Vida útil do notebook para depreciação (meses)</t>
  </si>
  <si>
    <t>Equivalente dos planos pagos Render + Neon (US$/mês)</t>
  </si>
  <si>
    <t>Assinatura de assistente de IA (US$/mês por integrante)</t>
  </si>
  <si>
    <t>Câmbio (R$ por US$)</t>
  </si>
  <si>
    <t>Semanas de esforço por mês cheio (ago a nov)</t>
  </si>
  <si>
    <t>Semanas de esforço em dezembro (1 a 15/12)</t>
  </si>
  <si>
    <t>Recursos humanos (equipe)</t>
  </si>
  <si>
    <t>TAP 4.1: 5 integrantes x 8 h/semana x R$ 45,00/h. 160 h por mês cheio, 80 h em dezembro; 720 h no total.</t>
  </si>
  <si>
    <t>Sem apontamento de horas: realizado considerado igual ao orçado, na mesma base. Desembolso efetivo R$ 0,00.</t>
  </si>
  <si>
    <t>Hardware (depreciação)</t>
  </si>
  <si>
    <t>TAP 4.2: 5 notebooks de uso próprio de R$ 4.500,00, depreciação linear em 48 meses. Meio mês em dezembro.</t>
  </si>
  <si>
    <t>Rede e hospedagem</t>
  </si>
  <si>
    <t>TAP 4.3: equivalente dos planos pagos de Render e Neon, US$ 54,00/mês a R$ 5,50. Desembolso efetivo R$ 0,00 (planos gratuitos).</t>
  </si>
  <si>
    <t>Software de terceiros</t>
  </si>
  <si>
    <t>TAP 4.4: 5 assinaturas de assistente de IA a US$ 20,00/mês, a R$ 5,50. IDEs, GitHub e ferramenta de design em licença gratuita ou educacional.</t>
  </si>
  <si>
    <t>Serviços e treinamento</t>
  </si>
  <si>
    <t>TAP 4.5: orientação docente, 3 professores x 1 h/semana x R$ 150,00/h. 54 h no total.</t>
  </si>
  <si>
    <t>Reserva de contingência</t>
  </si>
  <si>
    <t>Sem reserva financeira: a contingência do projeto é de escopo. O que não termina desce de prioridade e as 7 features opcionais absorvem o atraso.</t>
  </si>
  <si>
    <t>Nenhuma reserva acionada.</t>
  </si>
  <si>
    <t>Valor presente dos custos</t>
  </si>
  <si>
    <t>Payback</t>
  </si>
  <si>
    <t>Não se aplica</t>
  </si>
  <si>
    <t>Custo do capital de 6% a.a. (Param D4), convertido para taxa mensal.</t>
  </si>
  <si>
    <t>O projeto não gera receita: monetização está fora do escopo (Declaração de Escopo 3.3).</t>
  </si>
  <si>
    <t>Idem: sem benefício financeiro não há retorno sobre o investimento.</t>
  </si>
  <si>
    <t>Realizado até o mês 3 (outubro/2026), data de status 26/10/2026. Meses seguintes ficam em branco até serem realizados.</t>
  </si>
  <si>
    <t>1.0</t>
  </si>
  <si>
    <t>Renato Douglas Nascimento Silva de Oliveira</t>
  </si>
  <si>
    <t>Versão inicial: linha de base do TAP nº 01 (R$ 46.420,88) distribuída por mês; realizado de agosto a outubro, data de status 26/10/2026.</t>
  </si>
  <si>
    <t>A cada revisão, atualizar a Data de status e o Último mês com realizado (Param C21:C22). A aba Status deixa os meses seguintes em branco.</t>
  </si>
  <si>
    <t>As bases das estimativas (Param C25:C37) alimentam as fórmulas da aba Orcado. Alterá-las muda a linha de base e passa pelo controle de mudança.</t>
  </si>
  <si>
    <t>Sem apontamento de horas, o realizado repete a base do orçado. Desvio conhecido (horas, gasto efetivo) entra aqui, mês a mês.</t>
  </si>
  <si>
    <t>Vicenzo Fonseca de Mello Souza (Gerente do Projeto)</t>
  </si>
  <si>
    <t>Ana Luiza de Freitas Rodrigues</t>
  </si>
  <si>
    <t>Henrique Moreira Gomes de Carvalho</t>
  </si>
  <si>
    <t>Kayke Emanoel de Souza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</si>
</sst>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416]mmm/yy;@"/>
    <numFmt numFmtId="166" formatCode="&quot;R$&quot;\ #,##0.00"/>
  </numFmts>
  <fonts count="37" x14ac:knownFonts="1"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23"/>
      <name val="Calibri"/>
      <family val="2"/>
      <scheme val="minor"/>
    </font>
    <font>
      <sz val="12"/>
      <color indexed="23"/>
      <name val="Calibri"/>
      <family val="2"/>
      <scheme val="minor"/>
    </font>
    <font>
      <b/>
      <i/>
      <sz val="18"/>
      <color rgb="FFFFFFFF"/>
      <name val="Cambria"/>
      <family val="2"/>
      <scheme val="major"/>
    </font>
    <font>
      <sz val="12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indexed="23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lightUp">
        <fgColor theme="0"/>
        <bgColor theme="4" tint="0.19998779259620961"/>
      </patternFill>
    </fill>
    <fill>
      <patternFill patternType="lightUp">
        <fgColor theme="0"/>
        <bgColor theme="5" tint="0.19998779259620961"/>
      </patternFill>
    </fill>
    <fill>
      <patternFill patternType="lightUp">
        <fgColor theme="0"/>
        <bgColor theme="6" tint="0.19998779259620961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5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2"/>
      </top>
      <bottom/>
      <diagonal/>
    </border>
    <border>
      <left/>
      <right/>
      <top/>
      <bottom style="thin">
        <color theme="2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99999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3" borderId="1" applyNumberFormat="0" applyAlignment="0" applyProtection="0"/>
    <xf numFmtId="0" fontId="15" fillId="0" borderId="6" applyNumberFormat="0" applyFill="0" applyAlignment="0" applyProtection="0"/>
    <xf numFmtId="0" fontId="16" fillId="34" borderId="0" applyNumberFormat="0" applyBorder="0" applyAlignment="0" applyProtection="0"/>
    <xf numFmtId="0" fontId="3" fillId="35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41" borderId="0" applyNumberFormat="0" applyBorder="0" applyAlignment="0" applyProtection="0"/>
    <xf numFmtId="0" fontId="5" fillId="0" borderId="0"/>
  </cellStyleXfs>
  <cellXfs count="117">
    <xf numFmtId="0" fontId="0" fillId="0" borderId="0" xfId="0"/>
    <xf numFmtId="0" fontId="4" fillId="2" borderId="10" xfId="1" applyBorder="1" applyAlignment="1">
      <alignment horizontal="center" wrapText="1"/>
    </xf>
    <xf numFmtId="0" fontId="4" fillId="2" borderId="10" xfId="1" applyBorder="1"/>
    <xf numFmtId="0" fontId="4" fillId="2" borderId="0" xfId="1" applyAlignment="1">
      <alignment wrapText="1"/>
    </xf>
    <xf numFmtId="0" fontId="4" fillId="2" borderId="15" xfId="1" applyBorder="1" applyAlignment="1">
      <alignment wrapText="1"/>
    </xf>
    <xf numFmtId="0" fontId="4" fillId="2" borderId="13" xfId="1" applyBorder="1" applyAlignment="1">
      <alignment wrapText="1"/>
    </xf>
    <xf numFmtId="0" fontId="4" fillId="2" borderId="14" xfId="1" applyBorder="1" applyAlignment="1">
      <alignment wrapText="1"/>
    </xf>
    <xf numFmtId="0" fontId="4" fillId="2" borderId="16" xfId="1" applyBorder="1" applyAlignment="1">
      <alignment wrapText="1"/>
    </xf>
    <xf numFmtId="0" fontId="4" fillId="6" borderId="10" xfId="5" applyBorder="1"/>
    <xf numFmtId="0" fontId="4" fillId="2" borderId="0" xfId="1"/>
    <xf numFmtId="0" fontId="24" fillId="0" borderId="0" xfId="44" applyFont="1"/>
    <xf numFmtId="0" fontId="23" fillId="0" borderId="0" xfId="44" applyFont="1"/>
    <xf numFmtId="0" fontId="24" fillId="0" borderId="10" xfId="44" applyFont="1" applyBorder="1"/>
    <xf numFmtId="0" fontId="24" fillId="0" borderId="10" xfId="44" applyFont="1" applyBorder="1" applyAlignment="1">
      <alignment wrapText="1"/>
    </xf>
    <xf numFmtId="1" fontId="24" fillId="0" borderId="10" xfId="44" applyNumberFormat="1" applyFont="1" applyBorder="1" applyAlignment="1">
      <alignment horizontal="center" vertical="top" wrapText="1"/>
    </xf>
    <xf numFmtId="0" fontId="24" fillId="0" borderId="0" xfId="0" applyFont="1"/>
    <xf numFmtId="0" fontId="24" fillId="0" borderId="10" xfId="0" applyFont="1" applyBorder="1"/>
    <xf numFmtId="9" fontId="24" fillId="0" borderId="10" xfId="0" applyNumberFormat="1" applyFont="1" applyBorder="1"/>
    <xf numFmtId="3" fontId="24" fillId="0" borderId="10" xfId="0" applyNumberFormat="1" applyFont="1" applyBorder="1"/>
    <xf numFmtId="0" fontId="23" fillId="0" borderId="0" xfId="0" applyFont="1" applyAlignment="1">
      <alignment horizontal="center"/>
    </xf>
    <xf numFmtId="0" fontId="23" fillId="0" borderId="0" xfId="0" applyFont="1"/>
    <xf numFmtId="0" fontId="23" fillId="37" borderId="0" xfId="0" applyFont="1" applyFill="1"/>
    <xf numFmtId="0" fontId="24" fillId="37" borderId="0" xfId="0" applyFont="1" applyFill="1"/>
    <xf numFmtId="3" fontId="24" fillId="37" borderId="0" xfId="0" applyNumberFormat="1" applyFont="1" applyFill="1"/>
    <xf numFmtId="3" fontId="23" fillId="38" borderId="0" xfId="0" applyNumberFormat="1" applyFont="1" applyFill="1"/>
    <xf numFmtId="1" fontId="24" fillId="0" borderId="0" xfId="0" applyNumberFormat="1" applyFont="1"/>
    <xf numFmtId="0" fontId="23" fillId="36" borderId="0" xfId="0" applyFont="1" applyFill="1"/>
    <xf numFmtId="0" fontId="24" fillId="36" borderId="0" xfId="0" applyFont="1" applyFill="1"/>
    <xf numFmtId="10" fontId="24" fillId="0" borderId="0" xfId="0" applyNumberFormat="1" applyFont="1"/>
    <xf numFmtId="3" fontId="24" fillId="0" borderId="0" xfId="0" applyNumberFormat="1" applyFont="1"/>
    <xf numFmtId="0" fontId="24" fillId="0" borderId="15" xfId="0" applyFont="1" applyBorder="1"/>
    <xf numFmtId="0" fontId="24" fillId="0" borderId="17" xfId="0" applyFont="1" applyBorder="1"/>
    <xf numFmtId="0" fontId="24" fillId="0" borderId="16" xfId="0" applyFont="1" applyBorder="1"/>
    <xf numFmtId="0" fontId="24" fillId="0" borderId="11" xfId="0" applyFont="1" applyBorder="1"/>
    <xf numFmtId="0" fontId="24" fillId="0" borderId="18" xfId="0" applyFont="1" applyBorder="1"/>
    <xf numFmtId="0" fontId="24" fillId="0" borderId="13" xfId="0" applyFont="1" applyBorder="1"/>
    <xf numFmtId="9" fontId="24" fillId="0" borderId="15" xfId="0" applyNumberFormat="1" applyFont="1" applyBorder="1"/>
    <xf numFmtId="0" fontId="25" fillId="0" borderId="0" xfId="44" applyFont="1" applyAlignment="1">
      <alignment horizontal="center"/>
    </xf>
    <xf numFmtId="0" fontId="26" fillId="0" borderId="0" xfId="44" applyFont="1" applyAlignment="1">
      <alignment horizontal="center"/>
    </xf>
    <xf numFmtId="0" fontId="26" fillId="0" borderId="0" xfId="44" applyFont="1"/>
    <xf numFmtId="0" fontId="26" fillId="0" borderId="0" xfId="44" applyFont="1" applyAlignment="1">
      <alignment vertical="center"/>
    </xf>
    <xf numFmtId="0" fontId="27" fillId="38" borderId="0" xfId="44" applyFont="1" applyFill="1" applyAlignment="1">
      <alignment horizontal="left" vertical="center" indent="2"/>
    </xf>
    <xf numFmtId="0" fontId="27" fillId="38" borderId="0" xfId="44" applyFont="1" applyFill="1" applyAlignment="1">
      <alignment horizontal="left" vertical="center"/>
    </xf>
    <xf numFmtId="0" fontId="28" fillId="38" borderId="0" xfId="44" applyFont="1" applyFill="1" applyAlignment="1">
      <alignment vertical="center"/>
    </xf>
    <xf numFmtId="0" fontId="27" fillId="38" borderId="0" xfId="44" applyFont="1" applyFill="1" applyAlignment="1">
      <alignment horizontal="right" vertical="center"/>
    </xf>
    <xf numFmtId="0" fontId="26" fillId="39" borderId="19" xfId="44" applyFont="1" applyFill="1" applyBorder="1" applyAlignment="1">
      <alignment horizontal="center"/>
    </xf>
    <xf numFmtId="0" fontId="29" fillId="40" borderId="19" xfId="44" applyFont="1" applyFill="1" applyBorder="1" applyAlignment="1">
      <alignment horizontal="center"/>
    </xf>
    <xf numFmtId="0" fontId="30" fillId="0" borderId="19" xfId="44" applyFont="1" applyBorder="1"/>
    <xf numFmtId="0" fontId="30" fillId="0" borderId="0" xfId="44" applyFont="1"/>
    <xf numFmtId="0" fontId="31" fillId="0" borderId="0" xfId="44" applyFont="1"/>
    <xf numFmtId="0" fontId="31" fillId="39" borderId="0" xfId="44" applyFont="1" applyFill="1" applyAlignment="1">
      <alignment horizontal="center"/>
    </xf>
    <xf numFmtId="0" fontId="32" fillId="40" borderId="0" xfId="44" applyFont="1" applyFill="1" applyAlignment="1">
      <alignment horizontal="center" vertical="center"/>
    </xf>
    <xf numFmtId="0" fontId="18" fillId="0" borderId="0" xfId="41" applyAlignment="1" applyProtection="1"/>
    <xf numFmtId="0" fontId="2" fillId="0" borderId="0" xfId="44"/>
    <xf numFmtId="0" fontId="33" fillId="0" borderId="0" xfId="44" applyFont="1" applyAlignment="1">
      <alignment vertical="center"/>
    </xf>
    <xf numFmtId="0" fontId="34" fillId="0" borderId="0" xfId="44" applyFont="1" applyAlignment="1">
      <alignment vertical="center"/>
    </xf>
    <xf numFmtId="0" fontId="26" fillId="39" borderId="0" xfId="44" applyFont="1" applyFill="1" applyAlignment="1">
      <alignment horizontal="center"/>
    </xf>
    <xf numFmtId="0" fontId="29" fillId="40" borderId="0" xfId="44" applyFont="1" applyFill="1" applyAlignment="1">
      <alignment horizontal="center"/>
    </xf>
    <xf numFmtId="0" fontId="26" fillId="39" borderId="20" xfId="44" applyFont="1" applyFill="1" applyBorder="1" applyAlignment="1">
      <alignment horizontal="center"/>
    </xf>
    <xf numFmtId="0" fontId="29" fillId="40" borderId="20" xfId="44" applyFont="1" applyFill="1" applyBorder="1" applyAlignment="1">
      <alignment horizontal="center"/>
    </xf>
    <xf numFmtId="0" fontId="30" fillId="0" borderId="20" xfId="44" applyFont="1" applyBorder="1"/>
    <xf numFmtId="0" fontId="4" fillId="2" borderId="10" xfId="1" applyBorder="1" applyAlignment="1">
      <alignment horizontal="center"/>
    </xf>
    <xf numFmtId="14" fontId="35" fillId="0" borderId="22" xfId="0" applyNumberFormat="1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0" borderId="10" xfId="44" applyFont="1" applyBorder="1" applyAlignment="1">
      <alignment horizontal="center"/>
    </xf>
    <xf numFmtId="0" fontId="36" fillId="0" borderId="10" xfId="44" applyFont="1" applyBorder="1"/>
    <xf numFmtId="0" fontId="4" fillId="38" borderId="0" xfId="0" applyFont="1" applyFill="1" applyAlignment="1">
      <alignment horizontal="right"/>
    </xf>
    <xf numFmtId="0" fontId="4" fillId="6" borderId="0" xfId="5"/>
    <xf numFmtId="0" fontId="5" fillId="37" borderId="0" xfId="48" applyFill="1"/>
    <xf numFmtId="17" fontId="5" fillId="37" borderId="0" xfId="48" applyNumberFormat="1" applyFill="1"/>
    <xf numFmtId="0" fontId="1" fillId="41" borderId="0" xfId="47"/>
    <xf numFmtId="17" fontId="4" fillId="2" borderId="0" xfId="1" applyNumberFormat="1" applyAlignment="1">
      <alignment horizontal="center"/>
    </xf>
    <xf numFmtId="165" fontId="4" fillId="2" borderId="0" xfId="1" applyNumberFormat="1" applyAlignment="1">
      <alignment horizontal="center"/>
    </xf>
    <xf numFmtId="3" fontId="4" fillId="6" borderId="0" xfId="5" applyNumberFormat="1"/>
    <xf numFmtId="3" fontId="1" fillId="41" borderId="0" xfId="47" applyNumberFormat="1"/>
    <xf numFmtId="4" fontId="24" fillId="37" borderId="0" xfId="0" applyNumberFormat="1" applyFont="1" applyFill="1"/>
    <xf numFmtId="4" fontId="1" fillId="41" borderId="0" xfId="47" applyNumberFormat="1"/>
    <xf numFmtId="0" fontId="24" fillId="0" borderId="23" xfId="0" applyFont="1" applyBorder="1"/>
    <xf numFmtId="9" fontId="24" fillId="37" borderId="23" xfId="0" applyNumberFormat="1" applyFont="1" applyFill="1" applyBorder="1"/>
    <xf numFmtId="9" fontId="1" fillId="37" borderId="23" xfId="47" applyNumberFormat="1" applyFill="1" applyBorder="1"/>
    <xf numFmtId="9" fontId="1" fillId="41" borderId="23" xfId="47" applyNumberFormat="1" applyBorder="1"/>
    <xf numFmtId="0" fontId="24" fillId="0" borderId="12" xfId="0" applyFont="1" applyBorder="1"/>
    <xf numFmtId="0" fontId="23" fillId="37" borderId="13" xfId="0" applyFont="1" applyFill="1" applyBorder="1"/>
    <xf numFmtId="0" fontId="24" fillId="37" borderId="24" xfId="0" applyFont="1" applyFill="1" applyBorder="1"/>
    <xf numFmtId="3" fontId="24" fillId="37" borderId="24" xfId="0" applyNumberFormat="1" applyFont="1" applyFill="1" applyBorder="1"/>
    <xf numFmtId="3" fontId="1" fillId="41" borderId="24" xfId="47" applyNumberFormat="1" applyBorder="1"/>
    <xf numFmtId="3" fontId="4" fillId="6" borderId="14" xfId="5" applyNumberFormat="1" applyBorder="1"/>
    <xf numFmtId="9" fontId="24" fillId="0" borderId="23" xfId="0" applyNumberFormat="1" applyFont="1" applyBorder="1"/>
    <xf numFmtId="0" fontId="4" fillId="2" borderId="0" xfId="1" applyAlignment="1">
      <alignment horizontal="center"/>
    </xf>
    <xf numFmtId="0" fontId="0" fillId="0" borderId="10" xfId="44" applyFont="1" applyBorder="1" applyAlignment="1">
      <alignment wrapText="1"/>
    </xf>
    <xf numFmtId="0" fontId="24" fillId="0" borderId="10" xfId="44" applyFont="1" applyBorder="1" applyAlignment="1">
      <alignment wrapText="1"/>
    </xf>
    <xf numFmtId="0" fontId="33" fillId="0" borderId="0" xfId="44" applyFont="1" applyAlignment="1">
      <alignment horizontal="left" vertical="center" wrapText="1"/>
    </xf>
    <xf numFmtId="0" fontId="27" fillId="38" borderId="0" xfId="44" applyFont="1" applyFill="1" applyAlignment="1">
      <alignment horizontal="center" vertical="center"/>
    </xf>
    <xf numFmtId="0" fontId="4" fillId="2" borderId="10" xfId="1" applyBorder="1"/>
    <xf numFmtId="0" fontId="36" fillId="0" borderId="10" xfId="44" applyFont="1" applyBorder="1"/>
    <xf numFmtId="0" fontId="4" fillId="2" borderId="10" xfId="1" applyBorder="1" applyAlignment="1">
      <alignment horizontal="center" wrapText="1"/>
    </xf>
    <xf numFmtId="0" fontId="4" fillId="2" borderId="11" xfId="1" applyBorder="1" applyAlignment="1">
      <alignment wrapText="1"/>
    </xf>
    <xf numFmtId="0" fontId="4" fillId="2" borderId="12" xfId="1" applyBorder="1" applyAlignment="1">
      <alignment wrapText="1"/>
    </xf>
    <xf numFmtId="14" fontId="5" fillId="37" borderId="0" xfId="48" applyNumberFormat="1" applyFill="1"/>
    <xf numFmtId="1" fontId="5" fillId="37" borderId="0" xfId="48" applyNumberFormat="1" applyFill="1" applyAlignment="1">
      <alignment horizontal="right"/>
    </xf>
    <xf numFmtId="4" fontId="5" fillId="37" borderId="0" xfId="48" applyNumberFormat="1" applyFill="1" applyAlignment="1">
      <alignment horizontal="right"/>
    </xf>
    <xf numFmtId="0" fontId="24" fillId="0" borderId="0" xfId="0" applyFont="1" applyAlignment="1">
      <alignment wrapText="1"/>
    </xf>
    <xf numFmtId="0" fontId="24" fillId="37" borderId="0" xfId="0" applyFont="1" applyFill="1" applyAlignment="1">
      <alignment wrapText="1"/>
    </xf>
    <xf numFmtId="166" fontId="24" fillId="0" borderId="0" xfId="0" applyNumberFormat="1" applyFont="1"/>
    <xf numFmtId="164" fontId="24" fillId="0" borderId="0" xfId="0" applyNumberFormat="1" applyFont="1" applyAlignment="1">
      <alignment wrapText="1"/>
    </xf>
    <xf numFmtId="10" fontId="24" fillId="0" borderId="0" xfId="0" applyNumberFormat="1" applyFont="1" applyAlignment="1">
      <alignment wrapText="1"/>
    </xf>
    <xf numFmtId="3" fontId="24" fillId="0" borderId="0" xfId="0" applyNumberFormat="1" applyFont="1" applyAlignment="1">
      <alignment horizontal="right"/>
    </xf>
    <xf numFmtId="9" fontId="24" fillId="0" borderId="0" xfId="46" applyFont="1" applyAlignment="1">
      <alignment horizontal="right"/>
    </xf>
    <xf numFmtId="49" fontId="35" fillId="0" borderId="21" xfId="0" applyNumberFormat="1" applyFont="1" applyBorder="1" applyAlignment="1">
      <alignment horizontal="center" vertical="center" wrapText="1"/>
    </xf>
    <xf numFmtId="0" fontId="36" fillId="0" borderId="25" xfId="44" applyFont="1" applyBorder="1" applyAlignment="1">
      <alignment wrapText="1"/>
    </xf>
    <xf numFmtId="0" fontId="36" fillId="0" borderId="26" xfId="44" applyFont="1" applyBorder="1" applyAlignment="1">
      <alignment wrapText="1"/>
    </xf>
    <xf numFmtId="0" fontId="36" fillId="0" borderId="27" xfId="44" applyFont="1" applyBorder="1" applyAlignment="1">
      <alignment wrapText="1"/>
    </xf>
    <xf numFmtId="0" fontId="0" fillId="0" borderId="28" xfId="44" applyFont="1" applyBorder="1" applyAlignment="1">
      <alignment wrapText="1"/>
    </xf>
    <xf numFmtId="0" fontId="24" fillId="0" borderId="26" xfId="44" applyFont="1" applyBorder="1" applyAlignment="1">
      <alignment wrapText="1"/>
    </xf>
    <xf numFmtId="0" fontId="24" fillId="0" borderId="27" xfId="44" applyFont="1" applyBorder="1" applyAlignment="1">
      <alignment wrapText="1"/>
    </xf>
    <xf numFmtId="0" fontId="24" fillId="0" borderId="28" xfId="44" applyFont="1" applyBorder="1" applyAlignment="1">
      <alignment wrapText="1"/>
    </xf>
    <xf numFmtId="0" fontId="36" fillId="0" borderId="10" xfId="44" applyFont="1" applyBorder="1" applyAlignment="1">
      <alignment wrapText="1"/>
    </xf>
  </cellXfs>
  <cellStyles count="49">
    <cellStyle name="40% - Ênfase3" xfId="47" builtinId="39"/>
    <cellStyle name="Accent1 - 20%" xfId="2" xr:uid="{00000000-0005-0000-0000-000002000000}"/>
    <cellStyle name="Accent1 - 40%" xfId="3" xr:uid="{00000000-0005-0000-0000-000003000000}"/>
    <cellStyle name="Accent1 - 60%" xfId="4" xr:uid="{00000000-0005-0000-0000-000004000000}"/>
    <cellStyle name="Accent2 - 20%" xfId="6" xr:uid="{00000000-0005-0000-0000-000006000000}"/>
    <cellStyle name="Accent2 - 40%" xfId="7" xr:uid="{00000000-0005-0000-0000-000007000000}"/>
    <cellStyle name="Accent2 - 60%" xfId="8" xr:uid="{00000000-0005-0000-0000-000008000000}"/>
    <cellStyle name="Accent3 - 20%" xfId="10" xr:uid="{00000000-0005-0000-0000-00000A000000}"/>
    <cellStyle name="Accent3 - 40%" xfId="11" xr:uid="{00000000-0005-0000-0000-00000B000000}"/>
    <cellStyle name="Accent3 - 60%" xfId="12" xr:uid="{00000000-0005-0000-0000-00000C000000}"/>
    <cellStyle name="Accent4 - 20%" xfId="14" xr:uid="{00000000-0005-0000-0000-00000E000000}"/>
    <cellStyle name="Accent4 - 40%" xfId="15" xr:uid="{00000000-0005-0000-0000-00000F000000}"/>
    <cellStyle name="Accent4 - 60%" xfId="16" xr:uid="{00000000-0005-0000-0000-000010000000}"/>
    <cellStyle name="Accent5 - 20%" xfId="18" xr:uid="{00000000-0005-0000-0000-000012000000}"/>
    <cellStyle name="Accent5 - 40%" xfId="19" xr:uid="{00000000-0005-0000-0000-000013000000}"/>
    <cellStyle name="Accent5 - 60%" xfId="20" xr:uid="{00000000-0005-0000-0000-000014000000}"/>
    <cellStyle name="Accent6 - 20%" xfId="22" xr:uid="{00000000-0005-0000-0000-000016000000}"/>
    <cellStyle name="Accent6 - 40%" xfId="23" xr:uid="{00000000-0005-0000-0000-000017000000}"/>
    <cellStyle name="Accent6 - 60%" xfId="24" xr:uid="{00000000-0005-0000-0000-000018000000}"/>
    <cellStyle name="Bom" xfId="31" builtinId="26" customBuiltin="1"/>
    <cellStyle name="Cálculo" xfId="26" builtinId="22" customBuiltin="1"/>
    <cellStyle name="Célula de Verificação" xfId="27" builtinId="23" customBuiltin="1"/>
    <cellStyle name="Célula Vinculada" xfId="37" builtinId="24" customBuiltin="1"/>
    <cellStyle name="Emphasis 1" xfId="28" xr:uid="{00000000-0005-0000-0000-00001C000000}"/>
    <cellStyle name="Emphasis 2" xfId="29" xr:uid="{00000000-0005-0000-0000-00001D000000}"/>
    <cellStyle name="Emphasis 3" xfId="30" xr:uid="{00000000-0005-0000-0000-00001E000000}"/>
    <cellStyle name="Ênfase1" xfId="1" builtinId="29" customBuiltin="1"/>
    <cellStyle name="Ênfase2" xfId="5" builtinId="33" customBuiltin="1"/>
    <cellStyle name="Ênfase3" xfId="9" builtinId="37" customBuiltin="1"/>
    <cellStyle name="Ênfase4" xfId="13" builtinId="41" customBuiltin="1"/>
    <cellStyle name="Ênfase5" xfId="17" builtinId="45" customBuiltin="1"/>
    <cellStyle name="Ênfase6" xfId="21" builtinId="49" customBuiltin="1"/>
    <cellStyle name="Entrada" xfId="36" builtinId="20" customBuiltin="1"/>
    <cellStyle name="Neutro" xfId="38" builtinId="28" customBuiltin="1"/>
    <cellStyle name="Normal" xfId="0" builtinId="0" customBuiltin="1"/>
    <cellStyle name="Normal 2" xfId="44" xr:uid="{00000000-0005-0000-0000-000028000000}"/>
    <cellStyle name="Normal 3 2 2" xfId="48" xr:uid="{00000000-0005-0000-0000-000029000000}"/>
    <cellStyle name="Nota" xfId="39" builtinId="10" customBuiltin="1"/>
    <cellStyle name="Percent 2" xfId="45" xr:uid="{00000000-0005-0000-0000-00002D000000}"/>
    <cellStyle name="Porcentagem" xfId="46" builtinId="5"/>
    <cellStyle name="Ruim" xfId="25" builtinId="27" customBuiltin="1"/>
    <cellStyle name="Saída" xfId="40" builtinId="21" customBuiltin="1"/>
    <cellStyle name="Sheet Title" xfId="41" xr:uid="{00000000-0005-0000-0000-00002E000000}"/>
    <cellStyle name="Texto de Aviso" xfId="43" builtinId="11" customBuiltin="1"/>
    <cellStyle name="Título 1" xfId="32" builtinId="16" customBuiltin="1"/>
    <cellStyle name="Título 2" xfId="33" builtinId="17" customBuiltin="1"/>
    <cellStyle name="Título 3" xfId="34" builtinId="18" customBuiltin="1"/>
    <cellStyle name="Título 4" xfId="35" builtinId="19" customBuiltin="1"/>
    <cellStyle name="Total" xfId="42" builtinId="25" customBuiltin="1"/>
  </cellStyles>
  <dxfs count="1">
    <dxf>
      <font>
        <color rgb="FFFFFF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Status!$E$3</c:f>
              <c:strCache>
                <c:ptCount val="1"/>
                <c:pt idx="0">
                  <c:v>Orçado</c:v>
                </c:pt>
              </c:strCache>
            </c:strRef>
          </c:tx>
          <c:marker>
            <c:symbol val="none"/>
          </c:marker>
          <c:cat>
            <c:numRef>
              <c:f>Status!$B$4:$B$9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Status!$E$4:$E$13</c:f>
              <c:numCache>
                <c:formatCode>#,##0</c:formatCode>
                <c:ptCount val="6"/>
                <c:pt idx="0">
                  <c:v>0</c:v>
                </c:pt>
                <c:pt idx="1">
                  <c:v>10315.75</c:v>
                </c:pt>
                <c:pt idx="2">
                  <c:v>20631.5</c:v>
                </c:pt>
                <c:pt idx="3">
                  <c:v>30947.25</c:v>
                </c:pt>
                <c:pt idx="4">
                  <c:v>41263</c:v>
                </c:pt>
                <c:pt idx="5">
                  <c:v>46420.875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E-4D61-8FF3-9E06B281C9D6}"/>
            </c:ext>
          </c:extLst>
        </c:ser>
        <c:ser>
          <c:idx val="4"/>
          <c:order val="2"/>
          <c:tx>
            <c:strRef>
              <c:f>Status!$F$3</c:f>
              <c:strCache>
                <c:ptCount val="1"/>
                <c:pt idx="0">
                  <c:v>Realizado</c:v>
                </c:pt>
              </c:strCache>
            </c:strRef>
          </c:tx>
          <c:marker>
            <c:symbol val="none"/>
          </c:marker>
          <c:cat>
            <c:numRef>
              <c:f>Status!$B$4:$B$9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Status!$F$4:$F$13</c:f>
              <c:numCache>
                <c:formatCode>#,##0</c:formatCode>
                <c:ptCount val="6"/>
                <c:pt idx="0">
                  <c:v>0</c:v>
                </c:pt>
                <c:pt idx="1">
                  <c:v>10315.75</c:v>
                </c:pt>
                <c:pt idx="2">
                  <c:v>20631.5</c:v>
                </c:pt>
                <c:pt idx="3">
                  <c:v>30947.25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9E-4D61-8FF3-9E06B281C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8521552"/>
        <c:axId val="-118518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Status!$B$3</c15:sqref>
                        </c15:formulaRef>
                      </c:ext>
                    </c:extLst>
                    <c:strCache>
                      <c:ptCount val="1"/>
                      <c:pt idx="0">
                        <c:v>Mês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Status!$B$4:$B$13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99E-4D61-8FF3-9E06B281C9D6}"/>
                  </c:ext>
                </c:extLst>
              </c15:ser>
            </c15:filteredLineSeries>
          </c:ext>
        </c:extLst>
      </c:lineChart>
      <c:catAx>
        <c:axId val="-11852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18518832"/>
        <c:crosses val="autoZero"/>
        <c:auto val="1"/>
        <c:lblAlgn val="ctr"/>
        <c:lblOffset val="100"/>
        <c:noMultiLvlLbl val="0"/>
      </c:catAx>
      <c:valAx>
        <c:axId val="-118518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-118521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critoriodeprojetos.com.br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666750</xdr:colOff>
      <xdr:row>8</xdr:row>
      <xdr:rowOff>63500</xdr:rowOff>
    </xdr:from>
    <xdr:to>
      <xdr:col>9</xdr:col>
      <xdr:colOff>744361</xdr:colOff>
      <xdr:row>10</xdr:row>
      <xdr:rowOff>69850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1350" y="2171700"/>
          <a:ext cx="1106311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0</xdr:row>
      <xdr:rowOff>138112</xdr:rowOff>
    </xdr:from>
    <xdr:to>
      <xdr:col>15</xdr:col>
      <xdr:colOff>590550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Eduardo/Google%20Drive/Escritorio%20de%20Projetos/Modelos/02-Planejamento/Estimativas%20de%20Custos.xlsx" TargetMode="External"/><Relationship Id="rId1" Type="http://schemas.openxmlformats.org/officeDocument/2006/relationships/externalLinkPath" Target="/Users/Eduardo/Google%20Drive/Escritorio%20de%20Projetos/Modelos/02-Planejamento/Estimativas%20de%20Cust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Eduardo/Dropbox/BDS%20-%20Projeto%20B3/Portfolio%20de%20Projetos.xlsm" TargetMode="External"/><Relationship Id="rId1" Type="http://schemas.openxmlformats.org/officeDocument/2006/relationships/externalLinkPath" Target="/Users/Eduardo/Dropbox/BDS%20-%20Projeto%20B3/Portfolio%20de%20Proje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Estimativas"/>
      <sheetName val="Param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pa"/>
      <sheetName val="Projetos"/>
      <sheetName val="Budget"/>
      <sheetName val="Config"/>
      <sheetName val="Issues"/>
      <sheetName val="Pendencias"/>
      <sheetName val="Pool"/>
      <sheetName val="Project"/>
      <sheetName val="Param"/>
      <sheetName val="Status"/>
      <sheetName val="SR"/>
      <sheetName val="SR.Modelo"/>
      <sheetName val="Prj-Venc"/>
      <sheetName val="Prj-Andam"/>
      <sheetName val="Prj-Prox"/>
      <sheetName val="Prj-Entr"/>
      <sheetName val="Prj-Concl"/>
      <sheetName val="Prj-FaseAtual"/>
      <sheetName val="Prj-NCon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AB5" t="str">
            <v>Diária</v>
          </cell>
        </row>
        <row r="6">
          <cell r="AB6" t="str">
            <v>Semanal</v>
          </cell>
        </row>
        <row r="7">
          <cell r="AB7" t="str">
            <v>Bissemanal</v>
          </cell>
        </row>
        <row r="8">
          <cell r="AB8" t="str">
            <v>Mensal</v>
          </cell>
        </row>
        <row r="15">
          <cell r="D15" t="str">
            <v>Pt-br</v>
          </cell>
          <cell r="E15" t="str">
            <v>Inglês</v>
          </cell>
        </row>
        <row r="24">
          <cell r="C24" t="str">
            <v>Cliente</v>
          </cell>
        </row>
        <row r="25">
          <cell r="C25" t="str">
            <v>Interno</v>
          </cell>
        </row>
        <row r="26">
          <cell r="C26" t="str">
            <v>Teste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2"/>
  <sheetViews>
    <sheetView showGridLines="0" tabSelected="1" zoomScaleNormal="100" workbookViewId="0"/>
  </sheetViews>
  <sheetFormatPr defaultColWidth="0" defaultRowHeight="15.6" x14ac:dyDescent="0.3"/>
  <cols>
    <col min="1" max="1" width="2.5546875" style="39" customWidth="1"/>
    <col min="2" max="2" width="9.21875" style="38" customWidth="1"/>
    <col min="3" max="3" width="13.21875" style="38" customWidth="1"/>
    <col min="4" max="4" width="24.77734375" style="39" customWidth="1"/>
    <col min="5" max="11" width="14.77734375" style="39" customWidth="1"/>
    <col min="12" max="12" width="2.5546875" style="39" customWidth="1"/>
    <col min="13" max="13" width="9" style="39" hidden="1" customWidth="1"/>
    <col min="14" max="17" width="0" style="39" hidden="1" customWidth="1"/>
    <col min="18" max="18" width="2.5546875" style="39" hidden="1" customWidth="1"/>
    <col min="19" max="20" width="9" style="39" hidden="1" customWidth="1"/>
    <col min="21" max="16384" width="0" style="39" hidden="1"/>
  </cols>
  <sheetData>
    <row r="1" spans="1:11" x14ac:dyDescent="0.3">
      <c r="A1" s="37"/>
      <c r="B1" s="37"/>
    </row>
    <row r="2" spans="1:11" s="40" customFormat="1" ht="22.8" x14ac:dyDescent="0.3">
      <c r="B2" s="41" t="s">
        <v>58</v>
      </c>
      <c r="C2" s="42"/>
      <c r="D2" s="43"/>
      <c r="E2" s="43"/>
      <c r="F2" s="43"/>
      <c r="G2" s="43"/>
      <c r="H2" s="43"/>
      <c r="I2" s="43"/>
      <c r="J2" s="43"/>
      <c r="K2" s="44" t="s">
        <v>76</v>
      </c>
    </row>
    <row r="3" spans="1:11" x14ac:dyDescent="0.3">
      <c r="B3" s="45"/>
      <c r="C3" s="46"/>
      <c r="D3" s="47"/>
      <c r="E3" s="47"/>
      <c r="F3" s="47"/>
      <c r="G3" s="47"/>
      <c r="H3" s="47"/>
      <c r="I3" s="47"/>
      <c r="J3" s="47"/>
      <c r="K3" s="47"/>
    </row>
    <row r="4" spans="1:11" s="49" customFormat="1" ht="22.8" x14ac:dyDescent="0.4">
      <c r="B4" s="50"/>
      <c r="C4" s="51">
        <v>1</v>
      </c>
      <c r="D4" s="52" t="s">
        <v>46</v>
      </c>
      <c r="E4" s="53"/>
      <c r="F4" s="54" t="s">
        <v>47</v>
      </c>
      <c r="G4" s="55"/>
      <c r="H4" s="55"/>
      <c r="I4" s="55"/>
      <c r="J4" s="55"/>
      <c r="K4" s="55"/>
    </row>
    <row r="5" spans="1:11" s="49" customFormat="1" ht="22.8" x14ac:dyDescent="0.4">
      <c r="B5" s="50"/>
      <c r="C5" s="51">
        <f>C4+1</f>
        <v>2</v>
      </c>
      <c r="D5" s="52" t="s">
        <v>36</v>
      </c>
      <c r="E5" s="53"/>
      <c r="F5" s="91" t="s">
        <v>61</v>
      </c>
      <c r="G5" s="91"/>
      <c r="H5" s="91"/>
      <c r="I5" s="91"/>
      <c r="J5" s="91"/>
      <c r="K5" s="91"/>
    </row>
    <row r="6" spans="1:11" s="49" customFormat="1" ht="22.8" x14ac:dyDescent="0.4">
      <c r="B6" s="50"/>
      <c r="C6" s="51">
        <f t="shared" ref="C6:C8" si="0">C5+1</f>
        <v>3</v>
      </c>
      <c r="D6" s="52" t="s">
        <v>34</v>
      </c>
      <c r="E6" s="53"/>
      <c r="F6" s="91" t="s">
        <v>60</v>
      </c>
      <c r="G6" s="91"/>
      <c r="H6" s="91"/>
      <c r="I6" s="91"/>
      <c r="J6" s="91"/>
      <c r="K6" s="91"/>
    </row>
    <row r="7" spans="1:11" s="49" customFormat="1" ht="22.8" x14ac:dyDescent="0.4">
      <c r="B7" s="50"/>
      <c r="C7" s="51">
        <f t="shared" si="0"/>
        <v>4</v>
      </c>
      <c r="D7" s="52" t="s">
        <v>59</v>
      </c>
      <c r="E7" s="53"/>
      <c r="F7" s="91" t="s">
        <v>62</v>
      </c>
      <c r="G7" s="91"/>
      <c r="H7" s="91"/>
      <c r="I7" s="91"/>
      <c r="J7" s="91"/>
      <c r="K7" s="91"/>
    </row>
    <row r="8" spans="1:11" s="49" customFormat="1" ht="22.8" x14ac:dyDescent="0.4">
      <c r="B8" s="50"/>
      <c r="C8" s="51">
        <f t="shared" si="0"/>
        <v>5</v>
      </c>
      <c r="D8" s="52" t="s">
        <v>48</v>
      </c>
      <c r="E8" s="53"/>
      <c r="F8" s="54" t="s">
        <v>49</v>
      </c>
      <c r="G8" s="53"/>
      <c r="H8" s="55"/>
      <c r="I8" s="55"/>
      <c r="J8" s="55"/>
      <c r="K8" s="55"/>
    </row>
    <row r="9" spans="1:11" s="49" customFormat="1" ht="22.8" x14ac:dyDescent="0.4">
      <c r="B9" s="50"/>
      <c r="C9" s="51"/>
      <c r="D9" s="52"/>
      <c r="E9" s="53"/>
      <c r="F9" s="54"/>
      <c r="G9" s="53"/>
      <c r="H9" s="55"/>
      <c r="I9" s="55"/>
      <c r="J9" s="55"/>
      <c r="K9" s="55"/>
    </row>
    <row r="10" spans="1:11" x14ac:dyDescent="0.3">
      <c r="B10" s="56"/>
      <c r="C10" s="57"/>
      <c r="D10" s="48"/>
      <c r="E10" s="48"/>
      <c r="F10" s="48"/>
      <c r="G10" s="48"/>
      <c r="H10" s="48"/>
      <c r="I10" s="48"/>
      <c r="J10" s="48"/>
      <c r="K10" s="48"/>
    </row>
    <row r="11" spans="1:11" x14ac:dyDescent="0.3">
      <c r="B11" s="58"/>
      <c r="C11" s="59"/>
      <c r="D11" s="60"/>
      <c r="E11" s="60"/>
      <c r="F11" s="60"/>
      <c r="G11" s="60"/>
      <c r="H11" s="60"/>
      <c r="I11" s="60"/>
      <c r="J11" s="60"/>
      <c r="K11" s="60"/>
    </row>
    <row r="14" spans="1:11" ht="22.8" x14ac:dyDescent="0.3">
      <c r="B14" s="92" t="s">
        <v>50</v>
      </c>
      <c r="C14" s="92"/>
      <c r="D14" s="92"/>
      <c r="E14" s="92"/>
      <c r="F14" s="92"/>
      <c r="G14" s="92"/>
      <c r="H14" s="92"/>
      <c r="I14" s="92"/>
      <c r="J14" s="92"/>
      <c r="K14" s="92"/>
    </row>
    <row r="15" spans="1:11" ht="16.2" thickBot="1" x14ac:dyDescent="0.35">
      <c r="B15" s="61" t="s">
        <v>51</v>
      </c>
      <c r="C15" s="61" t="s">
        <v>52</v>
      </c>
      <c r="D15" s="61" t="s">
        <v>53</v>
      </c>
      <c r="E15" s="93" t="s">
        <v>54</v>
      </c>
      <c r="F15" s="93"/>
      <c r="G15" s="93"/>
      <c r="H15" s="93"/>
      <c r="I15" s="93"/>
      <c r="J15" s="93"/>
      <c r="K15" s="93"/>
    </row>
    <row r="16" spans="1:11" ht="30" customHeight="1" thickBot="1" x14ac:dyDescent="0.35">
      <c r="B16" s="108" t="s">
        <v>115</v>
      </c>
      <c r="C16" s="62">
        <f>DATE(2026,10,26)</f>
        <v>46321</v>
      </c>
      <c r="D16" s="63" t="s">
        <v>116</v>
      </c>
      <c r="E16" s="109" t="s">
        <v>117</v>
      </c>
      <c r="F16" s="110"/>
      <c r="G16" s="110"/>
      <c r="H16" s="110"/>
      <c r="I16" s="110"/>
      <c r="J16" s="110"/>
      <c r="K16" s="111"/>
    </row>
    <row r="17" spans="2:11" x14ac:dyDescent="0.3">
      <c r="B17" s="64"/>
      <c r="C17" s="64"/>
      <c r="D17" s="65"/>
      <c r="E17" s="94"/>
      <c r="F17" s="94"/>
      <c r="G17" s="94"/>
      <c r="H17" s="94"/>
      <c r="I17" s="94"/>
      <c r="J17" s="94"/>
      <c r="K17" s="94"/>
    </row>
    <row r="18" spans="2:11" x14ac:dyDescent="0.3">
      <c r="B18" s="64"/>
      <c r="C18" s="64"/>
      <c r="D18" s="65"/>
      <c r="E18" s="94"/>
      <c r="F18" s="94"/>
      <c r="G18" s="94"/>
      <c r="H18" s="94"/>
      <c r="I18" s="94"/>
      <c r="J18" s="94"/>
      <c r="K18" s="94"/>
    </row>
    <row r="20" spans="2:11" s="10" customFormat="1" ht="22.8" x14ac:dyDescent="0.3">
      <c r="B20" s="92" t="s">
        <v>5</v>
      </c>
      <c r="C20" s="92"/>
      <c r="D20" s="92">
        <f ca="1">TODAY()</f>
        <v>46321</v>
      </c>
      <c r="E20" s="92"/>
      <c r="F20" s="92"/>
      <c r="G20" s="92"/>
      <c r="H20" s="92"/>
      <c r="I20" s="92"/>
      <c r="J20" s="92"/>
      <c r="K20" s="92"/>
    </row>
    <row r="21" spans="2:11" s="11" customFormat="1" ht="14.4" x14ac:dyDescent="0.3">
      <c r="B21" s="1" t="s">
        <v>6</v>
      </c>
      <c r="C21" s="1" t="s">
        <v>8</v>
      </c>
      <c r="D21" s="1" t="s">
        <v>9</v>
      </c>
      <c r="E21" s="95" t="s">
        <v>7</v>
      </c>
      <c r="F21" s="95"/>
      <c r="G21" s="95"/>
      <c r="H21" s="95"/>
      <c r="I21" s="95"/>
      <c r="J21" s="95"/>
      <c r="K21" s="95"/>
    </row>
    <row r="22" spans="2:11" s="10" customFormat="1" ht="14.4" x14ac:dyDescent="0.3">
      <c r="B22" s="12">
        <v>0</v>
      </c>
      <c r="C22" s="13" t="s">
        <v>29</v>
      </c>
      <c r="D22" s="14" t="s">
        <v>30</v>
      </c>
      <c r="E22" s="90" t="s">
        <v>28</v>
      </c>
      <c r="F22" s="90"/>
      <c r="G22" s="90"/>
      <c r="H22" s="90"/>
      <c r="I22" s="90"/>
      <c r="J22" s="90"/>
      <c r="K22" s="90"/>
    </row>
    <row r="23" spans="2:11" s="10" customFormat="1" ht="14.4" x14ac:dyDescent="0.3">
      <c r="B23" s="12">
        <v>1</v>
      </c>
      <c r="C23" s="13" t="s">
        <v>36</v>
      </c>
      <c r="D23" s="14" t="s">
        <v>44</v>
      </c>
      <c r="E23" s="90" t="s">
        <v>10</v>
      </c>
      <c r="F23" s="90"/>
      <c r="G23" s="90"/>
      <c r="H23" s="90"/>
      <c r="I23" s="90"/>
      <c r="J23" s="90"/>
      <c r="K23" s="90"/>
    </row>
    <row r="24" spans="2:11" s="10" customFormat="1" ht="34.5" customHeight="1" x14ac:dyDescent="0.3">
      <c r="B24" s="12">
        <f>B23+1</f>
        <v>2</v>
      </c>
      <c r="C24" s="13" t="s">
        <v>36</v>
      </c>
      <c r="D24" s="14" t="s">
        <v>44</v>
      </c>
      <c r="E24" s="89" t="s">
        <v>68</v>
      </c>
      <c r="F24" s="90"/>
      <c r="G24" s="90"/>
      <c r="H24" s="90"/>
      <c r="I24" s="90"/>
      <c r="J24" s="90"/>
      <c r="K24" s="90"/>
    </row>
    <row r="25" spans="2:11" s="10" customFormat="1" ht="14.4" x14ac:dyDescent="0.3">
      <c r="B25" s="12">
        <f t="shared" ref="B25:B34" si="1">B24+1</f>
        <v>3</v>
      </c>
      <c r="C25" s="13" t="s">
        <v>36</v>
      </c>
      <c r="D25" s="14" t="s">
        <v>44</v>
      </c>
      <c r="E25" s="89" t="s">
        <v>69</v>
      </c>
      <c r="F25" s="90"/>
      <c r="G25" s="90"/>
      <c r="H25" s="90"/>
      <c r="I25" s="90"/>
      <c r="J25" s="90"/>
      <c r="K25" s="90"/>
    </row>
    <row r="26" spans="2:11" s="10" customFormat="1" ht="28.05" customHeight="1" x14ac:dyDescent="0.3">
      <c r="B26" s="12">
        <f t="shared" si="1"/>
        <v>4</v>
      </c>
      <c r="C26" s="13" t="s">
        <v>36</v>
      </c>
      <c r="D26" s="14" t="s">
        <v>44</v>
      </c>
      <c r="E26" s="112" t="s">
        <v>70</v>
      </c>
      <c r="F26" s="113"/>
      <c r="G26" s="113"/>
      <c r="H26" s="113"/>
      <c r="I26" s="113"/>
      <c r="J26" s="113"/>
      <c r="K26" s="114"/>
    </row>
    <row r="27" spans="2:11" s="10" customFormat="1" ht="14.4" x14ac:dyDescent="0.3">
      <c r="B27" s="12">
        <f t="shared" si="1"/>
        <v>5</v>
      </c>
      <c r="C27" s="13" t="s">
        <v>36</v>
      </c>
      <c r="D27" s="14" t="s">
        <v>44</v>
      </c>
      <c r="E27" s="89" t="s">
        <v>71</v>
      </c>
      <c r="F27" s="90"/>
      <c r="G27" s="90"/>
      <c r="H27" s="90"/>
      <c r="I27" s="90"/>
      <c r="J27" s="90"/>
      <c r="K27" s="90"/>
    </row>
    <row r="28" spans="2:11" s="10" customFormat="1" ht="14.4" x14ac:dyDescent="0.3">
      <c r="B28" s="12">
        <f t="shared" si="1"/>
        <v>6</v>
      </c>
      <c r="C28" s="13" t="s">
        <v>36</v>
      </c>
      <c r="D28" s="14" t="s">
        <v>44</v>
      </c>
      <c r="E28" s="89" t="s">
        <v>72</v>
      </c>
      <c r="F28" s="90"/>
      <c r="G28" s="90"/>
      <c r="H28" s="90"/>
      <c r="I28" s="90"/>
      <c r="J28" s="90"/>
      <c r="K28" s="90"/>
    </row>
    <row r="29" spans="2:11" s="10" customFormat="1" ht="14.4" x14ac:dyDescent="0.3">
      <c r="B29" s="12">
        <f t="shared" si="1"/>
        <v>7</v>
      </c>
      <c r="C29" s="13" t="s">
        <v>36</v>
      </c>
      <c r="D29" s="14" t="s">
        <v>44</v>
      </c>
      <c r="E29" s="89" t="s">
        <v>73</v>
      </c>
      <c r="F29" s="90"/>
      <c r="G29" s="90"/>
      <c r="H29" s="90"/>
      <c r="I29" s="90"/>
      <c r="J29" s="90"/>
      <c r="K29" s="90"/>
    </row>
    <row r="30" spans="2:11" s="10" customFormat="1" ht="14.4" x14ac:dyDescent="0.3">
      <c r="B30" s="12">
        <f t="shared" si="1"/>
        <v>8</v>
      </c>
      <c r="C30" s="13" t="s">
        <v>34</v>
      </c>
      <c r="D30" s="14" t="s">
        <v>44</v>
      </c>
      <c r="E30" s="90" t="s">
        <v>45</v>
      </c>
      <c r="F30" s="90"/>
      <c r="G30" s="90"/>
      <c r="H30" s="90"/>
      <c r="I30" s="90"/>
      <c r="J30" s="90"/>
      <c r="K30" s="90"/>
    </row>
    <row r="31" spans="2:11" s="10" customFormat="1" ht="28.05" customHeight="1" x14ac:dyDescent="0.3">
      <c r="B31" s="12">
        <f t="shared" si="1"/>
        <v>9</v>
      </c>
      <c r="C31" s="13" t="s">
        <v>29</v>
      </c>
      <c r="D31" s="14" t="s">
        <v>44</v>
      </c>
      <c r="E31" s="115" t="s">
        <v>118</v>
      </c>
      <c r="F31" s="113"/>
      <c r="G31" s="113"/>
      <c r="H31" s="113"/>
      <c r="I31" s="113"/>
      <c r="J31" s="113"/>
      <c r="K31" s="114"/>
    </row>
    <row r="32" spans="2:11" s="10" customFormat="1" ht="28.05" customHeight="1" x14ac:dyDescent="0.3">
      <c r="B32" s="12">
        <f t="shared" si="1"/>
        <v>10</v>
      </c>
      <c r="C32" s="13" t="s">
        <v>29</v>
      </c>
      <c r="D32" s="14" t="s">
        <v>44</v>
      </c>
      <c r="E32" s="115" t="s">
        <v>119</v>
      </c>
      <c r="F32" s="113"/>
      <c r="G32" s="113"/>
      <c r="H32" s="113"/>
      <c r="I32" s="113"/>
      <c r="J32" s="113"/>
      <c r="K32" s="114"/>
    </row>
    <row r="33" spans="2:11" s="10" customFormat="1" ht="28.05" customHeight="1" x14ac:dyDescent="0.3">
      <c r="B33" s="12">
        <f t="shared" si="1"/>
        <v>11</v>
      </c>
      <c r="C33" s="13" t="s">
        <v>34</v>
      </c>
      <c r="D33" s="14" t="s">
        <v>44</v>
      </c>
      <c r="E33" s="115" t="s">
        <v>120</v>
      </c>
      <c r="F33" s="113"/>
      <c r="G33" s="113"/>
      <c r="H33" s="113"/>
      <c r="I33" s="113"/>
      <c r="J33" s="113"/>
      <c r="K33" s="114"/>
    </row>
    <row r="34" spans="2:11" s="10" customFormat="1" ht="14.4" x14ac:dyDescent="0.3">
      <c r="B34" s="12">
        <f t="shared" si="1"/>
        <v>12</v>
      </c>
      <c r="C34" s="13"/>
      <c r="D34" s="14"/>
      <c r="E34" s="90"/>
      <c r="F34" s="90"/>
      <c r="G34" s="90"/>
      <c r="H34" s="90"/>
      <c r="I34" s="90"/>
      <c r="J34" s="90"/>
      <c r="K34" s="90"/>
    </row>
    <row r="36" spans="2:11" ht="22.8" x14ac:dyDescent="0.3">
      <c r="B36" s="92" t="s">
        <v>55</v>
      </c>
      <c r="C36" s="92"/>
      <c r="D36" s="92"/>
      <c r="E36" s="92"/>
      <c r="F36" s="92"/>
      <c r="G36" s="92"/>
      <c r="H36" s="92"/>
      <c r="I36" s="92"/>
      <c r="J36" s="92"/>
      <c r="K36" s="92"/>
    </row>
    <row r="37" spans="2:11" x14ac:dyDescent="0.3">
      <c r="B37" s="61" t="s">
        <v>6</v>
      </c>
      <c r="C37" s="61" t="s">
        <v>52</v>
      </c>
      <c r="D37" s="61" t="s">
        <v>56</v>
      </c>
      <c r="E37" s="93" t="s">
        <v>57</v>
      </c>
      <c r="F37" s="93"/>
      <c r="G37" s="93"/>
      <c r="H37" s="93"/>
      <c r="I37" s="93"/>
      <c r="J37" s="93"/>
      <c r="K37" s="93"/>
    </row>
    <row r="38" spans="2:11" ht="45" customHeight="1" x14ac:dyDescent="0.3">
      <c r="B38" s="64">
        <v>1</v>
      </c>
      <c r="C38" s="64"/>
      <c r="D38" s="116" t="s">
        <v>121</v>
      </c>
      <c r="E38" s="94"/>
      <c r="F38" s="94"/>
      <c r="G38" s="94"/>
      <c r="H38" s="94"/>
      <c r="I38" s="94"/>
      <c r="J38" s="94"/>
      <c r="K38" s="94"/>
    </row>
    <row r="39" spans="2:11" ht="45" customHeight="1" x14ac:dyDescent="0.3">
      <c r="B39" s="64">
        <v>2</v>
      </c>
      <c r="C39" s="64"/>
      <c r="D39" s="116" t="s">
        <v>122</v>
      </c>
      <c r="E39" s="94"/>
      <c r="F39" s="94"/>
      <c r="G39" s="94"/>
      <c r="H39" s="94"/>
      <c r="I39" s="94"/>
      <c r="J39" s="94"/>
      <c r="K39" s="94"/>
    </row>
    <row r="40" spans="2:11" ht="45" customHeight="1" x14ac:dyDescent="0.3">
      <c r="B40" s="64">
        <v>3</v>
      </c>
      <c r="C40" s="64"/>
      <c r="D40" s="116" t="s">
        <v>123</v>
      </c>
      <c r="E40" s="94"/>
      <c r="F40" s="94"/>
      <c r="G40" s="94"/>
      <c r="H40" s="94"/>
      <c r="I40" s="94"/>
      <c r="J40" s="94"/>
      <c r="K40" s="94"/>
    </row>
    <row r="41" spans="2:11" ht="45" customHeight="1" x14ac:dyDescent="0.3">
      <c r="B41" s="64">
        <v>4</v>
      </c>
      <c r="C41" s="64"/>
      <c r="D41" s="116" t="s">
        <v>124</v>
      </c>
      <c r="E41" s="94"/>
      <c r="F41" s="94"/>
      <c r="G41" s="94"/>
      <c r="H41" s="94"/>
      <c r="I41" s="94"/>
      <c r="J41" s="94"/>
      <c r="K41" s="94"/>
    </row>
    <row r="42" spans="2:11" ht="45" customHeight="1" x14ac:dyDescent="0.3">
      <c r="B42" s="64">
        <v>5</v>
      </c>
      <c r="C42" s="64"/>
      <c r="D42" s="116" t="s">
        <v>116</v>
      </c>
      <c r="E42" s="94"/>
      <c r="F42" s="94"/>
      <c r="G42" s="94"/>
      <c r="H42" s="94"/>
      <c r="I42" s="94"/>
      <c r="J42" s="94"/>
      <c r="K42" s="94"/>
    </row>
  </sheetData>
  <mergeCells count="30">
    <mergeCell ref="E41:K41"/>
    <mergeCell ref="E42:K42"/>
    <mergeCell ref="E40:K40"/>
    <mergeCell ref="F6:K6"/>
    <mergeCell ref="F7:K7"/>
    <mergeCell ref="E22:K22"/>
    <mergeCell ref="E33:K33"/>
    <mergeCell ref="E34:K34"/>
    <mergeCell ref="B36:K36"/>
    <mergeCell ref="E37:K37"/>
    <mergeCell ref="E38:K38"/>
    <mergeCell ref="E39:K39"/>
    <mergeCell ref="E27:K27"/>
    <mergeCell ref="E28:K28"/>
    <mergeCell ref="E29:K29"/>
    <mergeCell ref="E30:K30"/>
    <mergeCell ref="E31:K31"/>
    <mergeCell ref="E32:K32"/>
    <mergeCell ref="E26:K26"/>
    <mergeCell ref="F5:K5"/>
    <mergeCell ref="B14:K14"/>
    <mergeCell ref="E15:K15"/>
    <mergeCell ref="E16:K16"/>
    <mergeCell ref="E17:K17"/>
    <mergeCell ref="E18:K18"/>
    <mergeCell ref="B20:K20"/>
    <mergeCell ref="E21:K21"/>
    <mergeCell ref="E23:K23"/>
    <mergeCell ref="E24:K24"/>
    <mergeCell ref="E25:K25"/>
  </mergeCells>
  <dataValidations count="1">
    <dataValidation showInputMessage="1" showErrorMessage="1" sqref="D22:D34" xr:uid="{00000000-0002-0000-0000-000000000000}"/>
  </dataValidations>
  <hyperlinks>
    <hyperlink ref="D5" location="Orcado!A1" display="Orçado" xr:uid="{00000000-0004-0000-0000-000000000000}"/>
    <hyperlink ref="D8" location="Param!A1" display="Paramêtros" xr:uid="{00000000-0004-0000-0000-000001000000}"/>
    <hyperlink ref="D4" location="Capa!A1" display="Instruções" xr:uid="{00000000-0004-0000-0000-000002000000}"/>
    <hyperlink ref="D6" location="Realizado!A1" display="Realizado" xr:uid="{00000000-0004-0000-0000-000003000000}"/>
    <hyperlink ref="D7" location="Status!A1" display="Status" xr:uid="{00000000-0004-0000-0000-000004000000}"/>
  </hyperlinks>
  <printOptions horizontalCentered="1" verticalCentered="1"/>
  <pageMargins left="0.51181102362204722" right="0.51181102362204722" top="0.7857142857142857" bottom="0.7857142857142857" header="0.31496062992125984" footer="0.31496062992125984"/>
  <pageSetup paperSize="9" scale="89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41"/>
  <sheetViews>
    <sheetView showGridLines="0" workbookViewId="0">
      <pane xSplit="2" ySplit="4" topLeftCell="C20" activePane="bottomRight" state="frozen"/>
      <selection activeCell="C6" sqref="C6"/>
      <selection pane="topRight" activeCell="C6" sqref="C6"/>
      <selection pane="bottomLeft" activeCell="C6" sqref="C6"/>
      <selection pane="bottomRight"/>
    </sheetView>
  </sheetViews>
  <sheetFormatPr defaultColWidth="9.21875" defaultRowHeight="14.4" x14ac:dyDescent="0.3"/>
  <cols>
    <col min="1" max="1" width="2.77734375" style="15" customWidth="1"/>
    <col min="2" max="2" width="25.77734375" style="15" customWidth="1"/>
    <col min="3" max="3" width="45.77734375" style="15" customWidth="1"/>
    <col min="4" max="4" width="11.44140625" style="15" customWidth="1"/>
    <col min="5" max="5" width="11.21875" style="15" customWidth="1"/>
    <col min="6" max="6" width="10.77734375" style="15" customWidth="1"/>
    <col min="7" max="9" width="9.21875" style="15"/>
    <col min="10" max="16" width="0" style="15" hidden="1" customWidth="1"/>
    <col min="17" max="16384" width="9.21875" style="15"/>
  </cols>
  <sheetData>
    <row r="2" spans="2:17" x14ac:dyDescent="0.3">
      <c r="B2" s="88" t="s">
        <v>2</v>
      </c>
      <c r="C2" s="88"/>
      <c r="D2" s="19"/>
      <c r="E2" s="88" t="s">
        <v>31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67"/>
    </row>
    <row r="3" spans="2:17" x14ac:dyDescent="0.3">
      <c r="B3" s="9" t="s">
        <v>1</v>
      </c>
      <c r="C3" s="70" t="str">
        <f>Param!C17</f>
        <v>Lê Ai</v>
      </c>
      <c r="D3" s="19"/>
      <c r="E3" s="71">
        <f>Param!C18</f>
        <v>46235</v>
      </c>
      <c r="F3" s="72">
        <f>DATE(YEAR(E3),MONTH(E3)+1,DAY(E3))</f>
        <v>46266</v>
      </c>
      <c r="G3" s="72">
        <f>DATE(YEAR(F3),MONTH(F3)+1,DAY(F3))</f>
        <v>46296</v>
      </c>
      <c r="H3" s="72">
        <f t="shared" ref="H3:P3" si="0">DATE(YEAR(G3),MONTH(G3)+1,DAY(G3))</f>
        <v>46327</v>
      </c>
      <c r="I3" s="72">
        <f t="shared" si="0"/>
        <v>46357</v>
      </c>
      <c r="J3" s="72">
        <f t="shared" si="0"/>
        <v>46388</v>
      </c>
      <c r="K3" s="72">
        <f t="shared" si="0"/>
        <v>46419</v>
      </c>
      <c r="L3" s="72">
        <f t="shared" si="0"/>
        <v>46447</v>
      </c>
      <c r="M3" s="72">
        <f t="shared" si="0"/>
        <v>46478</v>
      </c>
      <c r="N3" s="72">
        <f t="shared" si="0"/>
        <v>46508</v>
      </c>
      <c r="O3" s="72">
        <f t="shared" si="0"/>
        <v>46539</v>
      </c>
      <c r="P3" s="72">
        <f t="shared" si="0"/>
        <v>46569</v>
      </c>
      <c r="Q3" s="67" t="s">
        <v>74</v>
      </c>
    </row>
    <row r="4" spans="2:17" x14ac:dyDescent="0.3">
      <c r="B4" s="9" t="s">
        <v>67</v>
      </c>
      <c r="C4" s="70" t="str">
        <f>Param!C19</f>
        <v>Professores orientadores de TI V</v>
      </c>
      <c r="D4" s="66">
        <v>0</v>
      </c>
      <c r="E4" s="66">
        <v>1</v>
      </c>
      <c r="F4" s="66">
        <f>E4+1</f>
        <v>2</v>
      </c>
      <c r="G4" s="66">
        <f t="shared" ref="G4:M4" si="1">F4+1</f>
        <v>3</v>
      </c>
      <c r="H4" s="66">
        <f t="shared" si="1"/>
        <v>4</v>
      </c>
      <c r="I4" s="66">
        <f t="shared" si="1"/>
        <v>5</v>
      </c>
      <c r="J4" s="66">
        <f t="shared" si="1"/>
        <v>6</v>
      </c>
      <c r="K4" s="66">
        <f t="shared" si="1"/>
        <v>7</v>
      </c>
      <c r="L4" s="66">
        <f t="shared" si="1"/>
        <v>8</v>
      </c>
      <c r="M4" s="66">
        <f t="shared" si="1"/>
        <v>9</v>
      </c>
      <c r="N4" s="66">
        <f t="shared" ref="N4" si="2">M4+1</f>
        <v>10</v>
      </c>
      <c r="O4" s="66">
        <f t="shared" ref="O4" si="3">N4+1</f>
        <v>11</v>
      </c>
      <c r="P4" s="66">
        <f t="shared" ref="P4" si="4">O4+1</f>
        <v>12</v>
      </c>
      <c r="Q4" s="67"/>
    </row>
    <row r="5" spans="2:17" x14ac:dyDescent="0.3">
      <c r="B5" s="20" t="s">
        <v>22</v>
      </c>
      <c r="D5" s="24">
        <f t="shared" ref="D5:P5" si="5">SUM(D19:D32)+D9+D11+D13+D15+D17</f>
        <v>0</v>
      </c>
      <c r="E5" s="24">
        <f t="shared" si="5"/>
        <v>10315.75</v>
      </c>
      <c r="F5" s="24">
        <f t="shared" si="5"/>
        <v>10315.75</v>
      </c>
      <c r="G5" s="24">
        <f t="shared" si="5"/>
        <v>10315.75</v>
      </c>
      <c r="H5" s="24">
        <f t="shared" si="5"/>
        <v>10315.75</v>
      </c>
      <c r="I5" s="24">
        <f t="shared" si="5"/>
        <v>5157.875</v>
      </c>
      <c r="J5" s="24">
        <f t="shared" si="5"/>
        <v>0</v>
      </c>
      <c r="K5" s="24">
        <f t="shared" si="5"/>
        <v>0</v>
      </c>
      <c r="L5" s="24">
        <f t="shared" si="5"/>
        <v>0</v>
      </c>
      <c r="M5" s="24">
        <f t="shared" si="5"/>
        <v>0</v>
      </c>
      <c r="N5" s="24">
        <f t="shared" si="5"/>
        <v>0</v>
      </c>
      <c r="O5" s="24">
        <f t="shared" si="5"/>
        <v>0</v>
      </c>
      <c r="P5" s="24">
        <f t="shared" si="5"/>
        <v>0</v>
      </c>
      <c r="Q5" s="73">
        <f>SUM(D5:P5)</f>
        <v>46420.875</v>
      </c>
    </row>
    <row r="6" spans="2:17" x14ac:dyDescent="0.3">
      <c r="B6" s="20" t="s">
        <v>40</v>
      </c>
      <c r="D6" s="24">
        <f>D5</f>
        <v>0</v>
      </c>
      <c r="E6" s="24">
        <f>D6+E5</f>
        <v>10315.75</v>
      </c>
      <c r="F6" s="24">
        <f t="shared" ref="F6:M6" si="6">E6+F5</f>
        <v>20631.5</v>
      </c>
      <c r="G6" s="24">
        <f t="shared" si="6"/>
        <v>30947.25</v>
      </c>
      <c r="H6" s="24">
        <f t="shared" si="6"/>
        <v>41263</v>
      </c>
      <c r="I6" s="24">
        <f t="shared" si="6"/>
        <v>46420.875</v>
      </c>
      <c r="J6" s="24">
        <f t="shared" si="6"/>
        <v>46420.875</v>
      </c>
      <c r="K6" s="24">
        <f t="shared" si="6"/>
        <v>46420.875</v>
      </c>
      <c r="L6" s="24">
        <f t="shared" si="6"/>
        <v>46420.875</v>
      </c>
      <c r="M6" s="24">
        <f t="shared" si="6"/>
        <v>46420.875</v>
      </c>
      <c r="N6" s="24">
        <f t="shared" ref="N6" si="7">M6+N5</f>
        <v>46420.875</v>
      </c>
      <c r="O6" s="24">
        <f t="shared" ref="O6" si="8">N6+O5</f>
        <v>46420.875</v>
      </c>
      <c r="P6" s="24">
        <f t="shared" ref="P6" si="9">O6+P5</f>
        <v>46420.875</v>
      </c>
    </row>
    <row r="7" spans="2:17" x14ac:dyDescent="0.3">
      <c r="B7" s="9" t="s">
        <v>36</v>
      </c>
      <c r="C7" s="20" t="s">
        <v>4</v>
      </c>
      <c r="D7" s="20"/>
    </row>
    <row r="8" spans="2:17" hidden="1" x14ac:dyDescent="0.3">
      <c r="B8" s="9" t="s">
        <v>41</v>
      </c>
      <c r="C8" s="77" t="s">
        <v>42</v>
      </c>
      <c r="D8" s="78"/>
      <c r="E8" s="78"/>
      <c r="F8" s="79">
        <v>0.1</v>
      </c>
      <c r="G8" s="80">
        <f>F8</f>
        <v>0.1</v>
      </c>
      <c r="H8" s="80">
        <f t="shared" ref="H8:M8" si="10">G8</f>
        <v>0.1</v>
      </c>
      <c r="I8" s="80">
        <f t="shared" si="10"/>
        <v>0.1</v>
      </c>
      <c r="J8" s="80">
        <f t="shared" si="10"/>
        <v>0.1</v>
      </c>
      <c r="K8" s="80">
        <f t="shared" si="10"/>
        <v>0.1</v>
      </c>
      <c r="L8" s="80">
        <f t="shared" si="10"/>
        <v>0.1</v>
      </c>
      <c r="M8" s="80">
        <f t="shared" si="10"/>
        <v>0.1</v>
      </c>
      <c r="N8" s="80">
        <f t="shared" ref="N8" si="11">M8</f>
        <v>0.1</v>
      </c>
      <c r="O8" s="80">
        <f t="shared" ref="O8" si="12">N8</f>
        <v>0.1</v>
      </c>
      <c r="P8" s="80">
        <f t="shared" ref="P8" si="13">O8</f>
        <v>0.1</v>
      </c>
      <c r="Q8" s="81"/>
    </row>
    <row r="9" spans="2:17" hidden="1" x14ac:dyDescent="0.3">
      <c r="B9" s="82" t="s">
        <v>43</v>
      </c>
      <c r="C9" s="83"/>
      <c r="D9" s="84"/>
      <c r="E9" s="84">
        <v>0</v>
      </c>
      <c r="F9" s="85">
        <f t="shared" ref="F9:P9" si="14">E9*(1+F8)</f>
        <v>0</v>
      </c>
      <c r="G9" s="85">
        <f t="shared" si="14"/>
        <v>0</v>
      </c>
      <c r="H9" s="85">
        <f t="shared" si="14"/>
        <v>0</v>
      </c>
      <c r="I9" s="85">
        <f t="shared" si="14"/>
        <v>0</v>
      </c>
      <c r="J9" s="85">
        <f t="shared" si="14"/>
        <v>0</v>
      </c>
      <c r="K9" s="85">
        <f t="shared" si="14"/>
        <v>0</v>
      </c>
      <c r="L9" s="85">
        <f t="shared" si="14"/>
        <v>0</v>
      </c>
      <c r="M9" s="85">
        <f t="shared" si="14"/>
        <v>0</v>
      </c>
      <c r="N9" s="85">
        <f t="shared" si="14"/>
        <v>0</v>
      </c>
      <c r="O9" s="85">
        <f t="shared" si="14"/>
        <v>0</v>
      </c>
      <c r="P9" s="85">
        <f t="shared" si="14"/>
        <v>0</v>
      </c>
      <c r="Q9" s="86">
        <f>SUM(D9:P9)</f>
        <v>0</v>
      </c>
    </row>
    <row r="10" spans="2:17" hidden="1" x14ac:dyDescent="0.3">
      <c r="B10" s="33" t="s">
        <v>3</v>
      </c>
      <c r="C10" s="77" t="s">
        <v>42</v>
      </c>
      <c r="D10" s="78"/>
      <c r="E10" s="78"/>
      <c r="F10" s="79">
        <v>0.1</v>
      </c>
      <c r="G10" s="80">
        <f>F10</f>
        <v>0.1</v>
      </c>
      <c r="H10" s="80">
        <f t="shared" ref="H10:M10" si="15">G10</f>
        <v>0.1</v>
      </c>
      <c r="I10" s="80">
        <f t="shared" si="15"/>
        <v>0.1</v>
      </c>
      <c r="J10" s="80">
        <f t="shared" si="15"/>
        <v>0.1</v>
      </c>
      <c r="K10" s="80">
        <f t="shared" si="15"/>
        <v>0.1</v>
      </c>
      <c r="L10" s="80">
        <f t="shared" si="15"/>
        <v>0.1</v>
      </c>
      <c r="M10" s="80">
        <f t="shared" si="15"/>
        <v>0.1</v>
      </c>
      <c r="N10" s="80">
        <f t="shared" ref="N10" si="16">M10</f>
        <v>0.1</v>
      </c>
      <c r="O10" s="80">
        <f t="shared" ref="O10" si="17">N10</f>
        <v>0.1</v>
      </c>
      <c r="P10" s="80">
        <f t="shared" ref="P10" si="18">O10</f>
        <v>0.1</v>
      </c>
      <c r="Q10" s="81"/>
    </row>
    <row r="11" spans="2:17" hidden="1" x14ac:dyDescent="0.3">
      <c r="B11" s="82" t="s">
        <v>43</v>
      </c>
      <c r="C11" s="83"/>
      <c r="D11" s="84"/>
      <c r="E11" s="84">
        <v>0</v>
      </c>
      <c r="F11" s="85">
        <f t="shared" ref="F11:P11" si="19">E11*(1+F10)</f>
        <v>0</v>
      </c>
      <c r="G11" s="85">
        <f t="shared" si="19"/>
        <v>0</v>
      </c>
      <c r="H11" s="85">
        <f t="shared" si="19"/>
        <v>0</v>
      </c>
      <c r="I11" s="85">
        <f t="shared" si="19"/>
        <v>0</v>
      </c>
      <c r="J11" s="85">
        <f t="shared" si="19"/>
        <v>0</v>
      </c>
      <c r="K11" s="85">
        <f t="shared" si="19"/>
        <v>0</v>
      </c>
      <c r="L11" s="85">
        <f t="shared" si="19"/>
        <v>0</v>
      </c>
      <c r="M11" s="85">
        <f t="shared" si="19"/>
        <v>0</v>
      </c>
      <c r="N11" s="85">
        <f t="shared" si="19"/>
        <v>0</v>
      </c>
      <c r="O11" s="85">
        <f t="shared" si="19"/>
        <v>0</v>
      </c>
      <c r="P11" s="85">
        <f t="shared" si="19"/>
        <v>0</v>
      </c>
      <c r="Q11" s="86">
        <f>SUM(D11:P11)</f>
        <v>0</v>
      </c>
    </row>
    <row r="12" spans="2:17" hidden="1" x14ac:dyDescent="0.3">
      <c r="B12" s="33" t="s">
        <v>3</v>
      </c>
      <c r="C12" s="77" t="s">
        <v>42</v>
      </c>
      <c r="D12" s="78"/>
      <c r="E12" s="78"/>
      <c r="F12" s="79">
        <v>0.1</v>
      </c>
      <c r="G12" s="80">
        <f>F12</f>
        <v>0.1</v>
      </c>
      <c r="H12" s="80">
        <f t="shared" ref="H12:M12" si="20">G12</f>
        <v>0.1</v>
      </c>
      <c r="I12" s="80">
        <f t="shared" si="20"/>
        <v>0.1</v>
      </c>
      <c r="J12" s="80">
        <f t="shared" si="20"/>
        <v>0.1</v>
      </c>
      <c r="K12" s="80">
        <f t="shared" si="20"/>
        <v>0.1</v>
      </c>
      <c r="L12" s="80">
        <f t="shared" si="20"/>
        <v>0.1</v>
      </c>
      <c r="M12" s="80">
        <f t="shared" si="20"/>
        <v>0.1</v>
      </c>
      <c r="N12" s="80">
        <f t="shared" ref="N12" si="21">M12</f>
        <v>0.1</v>
      </c>
      <c r="O12" s="80">
        <f t="shared" ref="O12" si="22">N12</f>
        <v>0.1</v>
      </c>
      <c r="P12" s="80">
        <f t="shared" ref="P12" si="23">O12</f>
        <v>0.1</v>
      </c>
      <c r="Q12" s="81"/>
    </row>
    <row r="13" spans="2:17" hidden="1" x14ac:dyDescent="0.3">
      <c r="B13" s="82" t="s">
        <v>43</v>
      </c>
      <c r="C13" s="83"/>
      <c r="D13" s="84"/>
      <c r="E13" s="84">
        <v>0</v>
      </c>
      <c r="F13" s="85">
        <f t="shared" ref="F13:P13" si="24">E13*(1+F12)</f>
        <v>0</v>
      </c>
      <c r="G13" s="85">
        <f t="shared" si="24"/>
        <v>0</v>
      </c>
      <c r="H13" s="85">
        <f t="shared" si="24"/>
        <v>0</v>
      </c>
      <c r="I13" s="85">
        <f t="shared" si="24"/>
        <v>0</v>
      </c>
      <c r="J13" s="85">
        <f t="shared" si="24"/>
        <v>0</v>
      </c>
      <c r="K13" s="85">
        <f t="shared" si="24"/>
        <v>0</v>
      </c>
      <c r="L13" s="85">
        <f t="shared" si="24"/>
        <v>0</v>
      </c>
      <c r="M13" s="85">
        <f t="shared" si="24"/>
        <v>0</v>
      </c>
      <c r="N13" s="85">
        <f t="shared" si="24"/>
        <v>0</v>
      </c>
      <c r="O13" s="85">
        <f t="shared" si="24"/>
        <v>0</v>
      </c>
      <c r="P13" s="85">
        <f t="shared" si="24"/>
        <v>0</v>
      </c>
      <c r="Q13" s="86">
        <f>SUM(D13:P13)</f>
        <v>0</v>
      </c>
    </row>
    <row r="14" spans="2:17" hidden="1" x14ac:dyDescent="0.3">
      <c r="B14" s="33" t="s">
        <v>3</v>
      </c>
      <c r="C14" s="77" t="s">
        <v>42</v>
      </c>
      <c r="D14" s="78"/>
      <c r="E14" s="78"/>
      <c r="F14" s="79">
        <v>0.1</v>
      </c>
      <c r="G14" s="80">
        <f>F14</f>
        <v>0.1</v>
      </c>
      <c r="H14" s="80">
        <f t="shared" ref="H14:M14" si="25">G14</f>
        <v>0.1</v>
      </c>
      <c r="I14" s="80">
        <f t="shared" si="25"/>
        <v>0.1</v>
      </c>
      <c r="J14" s="80">
        <f t="shared" si="25"/>
        <v>0.1</v>
      </c>
      <c r="K14" s="80">
        <f t="shared" si="25"/>
        <v>0.1</v>
      </c>
      <c r="L14" s="80">
        <f t="shared" si="25"/>
        <v>0.1</v>
      </c>
      <c r="M14" s="80">
        <f t="shared" si="25"/>
        <v>0.1</v>
      </c>
      <c r="N14" s="80">
        <f t="shared" ref="N14" si="26">M14</f>
        <v>0.1</v>
      </c>
      <c r="O14" s="80">
        <f t="shared" ref="O14" si="27">N14</f>
        <v>0.1</v>
      </c>
      <c r="P14" s="80">
        <f t="shared" ref="P14" si="28">O14</f>
        <v>0.1</v>
      </c>
      <c r="Q14" s="81"/>
    </row>
    <row r="15" spans="2:17" hidden="1" x14ac:dyDescent="0.3">
      <c r="B15" s="82" t="s">
        <v>43</v>
      </c>
      <c r="C15" s="83"/>
      <c r="D15" s="84"/>
      <c r="E15" s="84">
        <v>0</v>
      </c>
      <c r="F15" s="85">
        <f t="shared" ref="F15:P15" si="29">E15*(1+F14)</f>
        <v>0</v>
      </c>
      <c r="G15" s="85">
        <f t="shared" si="29"/>
        <v>0</v>
      </c>
      <c r="H15" s="85">
        <f t="shared" si="29"/>
        <v>0</v>
      </c>
      <c r="I15" s="85">
        <f t="shared" si="29"/>
        <v>0</v>
      </c>
      <c r="J15" s="85">
        <f t="shared" si="29"/>
        <v>0</v>
      </c>
      <c r="K15" s="85">
        <f t="shared" si="29"/>
        <v>0</v>
      </c>
      <c r="L15" s="85">
        <f t="shared" si="29"/>
        <v>0</v>
      </c>
      <c r="M15" s="85">
        <f t="shared" si="29"/>
        <v>0</v>
      </c>
      <c r="N15" s="85">
        <f t="shared" si="29"/>
        <v>0</v>
      </c>
      <c r="O15" s="85">
        <f t="shared" si="29"/>
        <v>0</v>
      </c>
      <c r="P15" s="85">
        <f t="shared" si="29"/>
        <v>0</v>
      </c>
      <c r="Q15" s="86">
        <f>SUM(D15:P15)</f>
        <v>0</v>
      </c>
    </row>
    <row r="16" spans="2:17" hidden="1" x14ac:dyDescent="0.3">
      <c r="B16" s="33" t="s">
        <v>3</v>
      </c>
      <c r="C16" s="77" t="s">
        <v>42</v>
      </c>
      <c r="D16" s="78"/>
      <c r="E16" s="78"/>
      <c r="F16" s="79">
        <v>0.1</v>
      </c>
      <c r="G16" s="80">
        <f>F16</f>
        <v>0.1</v>
      </c>
      <c r="H16" s="80">
        <f t="shared" ref="H16:M16" si="30">G16</f>
        <v>0.1</v>
      </c>
      <c r="I16" s="80">
        <f t="shared" si="30"/>
        <v>0.1</v>
      </c>
      <c r="J16" s="80">
        <f t="shared" si="30"/>
        <v>0.1</v>
      </c>
      <c r="K16" s="80">
        <f t="shared" si="30"/>
        <v>0.1</v>
      </c>
      <c r="L16" s="80">
        <f t="shared" si="30"/>
        <v>0.1</v>
      </c>
      <c r="M16" s="80">
        <f t="shared" si="30"/>
        <v>0.1</v>
      </c>
      <c r="N16" s="80">
        <f t="shared" ref="N16" si="31">M16</f>
        <v>0.1</v>
      </c>
      <c r="O16" s="80">
        <f t="shared" ref="O16" si="32">N16</f>
        <v>0.1</v>
      </c>
      <c r="P16" s="80">
        <f t="shared" ref="P16" si="33">O16</f>
        <v>0.1</v>
      </c>
      <c r="Q16" s="81"/>
    </row>
    <row r="17" spans="2:17" hidden="1" x14ac:dyDescent="0.3">
      <c r="B17" s="82" t="s">
        <v>43</v>
      </c>
      <c r="C17" s="83"/>
      <c r="D17" s="84"/>
      <c r="E17" s="84">
        <v>0</v>
      </c>
      <c r="F17" s="85">
        <f t="shared" ref="F17:P17" si="34">E17*(1+F16)</f>
        <v>0</v>
      </c>
      <c r="G17" s="85">
        <f t="shared" si="34"/>
        <v>0</v>
      </c>
      <c r="H17" s="85">
        <f t="shared" si="34"/>
        <v>0</v>
      </c>
      <c r="I17" s="85">
        <f t="shared" si="34"/>
        <v>0</v>
      </c>
      <c r="J17" s="85">
        <f t="shared" si="34"/>
        <v>0</v>
      </c>
      <c r="K17" s="85">
        <f t="shared" si="34"/>
        <v>0</v>
      </c>
      <c r="L17" s="85">
        <f t="shared" si="34"/>
        <v>0</v>
      </c>
      <c r="M17" s="85">
        <f t="shared" si="34"/>
        <v>0</v>
      </c>
      <c r="N17" s="85">
        <f t="shared" si="34"/>
        <v>0</v>
      </c>
      <c r="O17" s="85">
        <f t="shared" si="34"/>
        <v>0</v>
      </c>
      <c r="P17" s="85">
        <f t="shared" si="34"/>
        <v>0</v>
      </c>
      <c r="Q17" s="86">
        <f>SUM(D17:P17)</f>
        <v>0</v>
      </c>
    </row>
    <row r="18" spans="2:17" x14ac:dyDescent="0.3">
      <c r="B18" s="9" t="s">
        <v>20</v>
      </c>
    </row>
    <row r="19" spans="2:17" ht="28.8" x14ac:dyDescent="0.3">
      <c r="B19" s="15" t="s">
        <v>94</v>
      </c>
      <c r="C19" s="101" t="s">
        <v>95</v>
      </c>
      <c r="D19" s="23">
        <v>0</v>
      </c>
      <c r="E19" s="23">
        <f>Param!$C$25*Param!$C$26*Param!$C$27*Param!$C$36</f>
        <v>7200</v>
      </c>
      <c r="F19" s="74">
        <f>Param!$C$25*Param!$C$26*Param!$C$27*Param!$C$36</f>
        <v>7200</v>
      </c>
      <c r="G19" s="74">
        <f>Param!$C$25*Param!$C$26*Param!$C$27*Param!$C$36</f>
        <v>7200</v>
      </c>
      <c r="H19" s="74">
        <f>Param!$C$25*Param!$C$26*Param!$C$27*Param!$C$36</f>
        <v>7200</v>
      </c>
      <c r="I19" s="74">
        <f>Param!$C$25*Param!$C$26*Param!$C$27*Param!$C$37</f>
        <v>3600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3">
        <f>SUM(D19:P19)</f>
        <v>32400</v>
      </c>
    </row>
    <row r="20" spans="2:17" ht="43.2" x14ac:dyDescent="0.3">
      <c r="B20" s="15" t="s">
        <v>97</v>
      </c>
      <c r="C20" s="101" t="s">
        <v>98</v>
      </c>
      <c r="D20" s="23">
        <v>0</v>
      </c>
      <c r="E20" s="23">
        <f>Param!$C$25*Param!$C$31/Param!$C$32*Param!$C$36/Param!$C$36</f>
        <v>468.75</v>
      </c>
      <c r="F20" s="74">
        <f>Param!$C$25*Param!$C$31/Param!$C$32*Param!$C$36/Param!$C$36</f>
        <v>468.75</v>
      </c>
      <c r="G20" s="74">
        <f>Param!$C$25*Param!$C$31/Param!$C$32*Param!$C$36/Param!$C$36</f>
        <v>468.75</v>
      </c>
      <c r="H20" s="74">
        <f>Param!$C$25*Param!$C$31/Param!$C$32*Param!$C$36/Param!$C$36</f>
        <v>468.75</v>
      </c>
      <c r="I20" s="74">
        <f>Param!$C$25*Param!$C$31/Param!$C$32*Param!$C$37/Param!$C$36</f>
        <v>234.375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3">
        <f>SUM(D20:P20)</f>
        <v>2109.375</v>
      </c>
    </row>
    <row r="21" spans="2:17" ht="43.2" x14ac:dyDescent="0.3">
      <c r="B21" s="15" t="s">
        <v>99</v>
      </c>
      <c r="C21" s="101" t="s">
        <v>100</v>
      </c>
      <c r="D21" s="23">
        <v>0</v>
      </c>
      <c r="E21" s="23">
        <f>Param!$C$33*Param!$C$35*Param!$C$36/Param!$C$36</f>
        <v>297</v>
      </c>
      <c r="F21" s="74">
        <f>Param!$C$33*Param!$C$35*Param!$C$36/Param!$C$36</f>
        <v>297</v>
      </c>
      <c r="G21" s="74">
        <f>Param!$C$33*Param!$C$35*Param!$C$36/Param!$C$36</f>
        <v>297</v>
      </c>
      <c r="H21" s="74">
        <f>Param!$C$33*Param!$C$35*Param!$C$36/Param!$C$36</f>
        <v>297</v>
      </c>
      <c r="I21" s="74">
        <f>Param!$C$33*Param!$C$35*Param!$C$37/Param!$C$36</f>
        <v>148.5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3">
        <f>SUM(D21:P21)</f>
        <v>1336.5</v>
      </c>
    </row>
    <row r="22" spans="2:17" ht="43.2" x14ac:dyDescent="0.3">
      <c r="B22" s="15" t="s">
        <v>101</v>
      </c>
      <c r="C22" s="101" t="s">
        <v>102</v>
      </c>
      <c r="D22" s="23">
        <v>0</v>
      </c>
      <c r="E22" s="23">
        <f>Param!$C$25*Param!$C$34*Param!$C$35*Param!$C$36/Param!$C$36</f>
        <v>550</v>
      </c>
      <c r="F22" s="74">
        <f>Param!$C$25*Param!$C$34*Param!$C$35*Param!$C$36/Param!$C$36</f>
        <v>550</v>
      </c>
      <c r="G22" s="74">
        <f>Param!$C$25*Param!$C$34*Param!$C$35*Param!$C$36/Param!$C$36</f>
        <v>550</v>
      </c>
      <c r="H22" s="74">
        <f>Param!$C$25*Param!$C$34*Param!$C$35*Param!$C$36/Param!$C$36</f>
        <v>550</v>
      </c>
      <c r="I22" s="74">
        <f>Param!$C$25*Param!$C$34*Param!$C$35*Param!$C$37/Param!$C$36</f>
        <v>275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3">
        <f>SUM(D22:P22)</f>
        <v>2475</v>
      </c>
    </row>
    <row r="23" spans="2:17" ht="28.8" x14ac:dyDescent="0.3">
      <c r="B23" s="15" t="s">
        <v>103</v>
      </c>
      <c r="C23" s="101" t="s">
        <v>104</v>
      </c>
      <c r="D23" s="23">
        <v>0</v>
      </c>
      <c r="E23" s="23">
        <f>Param!$C$28*Param!$C$29*Param!$C$30*Param!$C$36</f>
        <v>1800</v>
      </c>
      <c r="F23" s="74">
        <f>Param!$C$28*Param!$C$29*Param!$C$30*Param!$C$36</f>
        <v>1800</v>
      </c>
      <c r="G23" s="74">
        <f>Param!$C$28*Param!$C$29*Param!$C$30*Param!$C$36</f>
        <v>1800</v>
      </c>
      <c r="H23" s="74">
        <f>Param!$C$28*Param!$C$29*Param!$C$30*Param!$C$36</f>
        <v>1800</v>
      </c>
      <c r="I23" s="74">
        <f>Param!$C$28*Param!$C$29*Param!$C$30*Param!$C$37</f>
        <v>900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3">
        <f>SUM(D23:P23)</f>
        <v>8100</v>
      </c>
    </row>
    <row r="24" spans="2:17" hidden="1" x14ac:dyDescent="0.3">
      <c r="B24" s="21" t="s">
        <v>21</v>
      </c>
      <c r="C24" s="102"/>
      <c r="D24" s="23"/>
      <c r="E24" s="23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3">
        <f t="shared" ref="Q19:Q32" si="35">SUM(D24:P24)</f>
        <v>0</v>
      </c>
    </row>
    <row r="25" spans="2:17" hidden="1" x14ac:dyDescent="0.3">
      <c r="B25" s="21" t="s">
        <v>21</v>
      </c>
      <c r="C25" s="102"/>
      <c r="D25" s="23"/>
      <c r="E25" s="23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3">
        <f t="shared" si="35"/>
        <v>0</v>
      </c>
    </row>
    <row r="26" spans="2:17" hidden="1" x14ac:dyDescent="0.3">
      <c r="B26" s="21" t="s">
        <v>21</v>
      </c>
      <c r="C26" s="102"/>
      <c r="D26" s="23"/>
      <c r="E26" s="23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3">
        <f t="shared" si="35"/>
        <v>0</v>
      </c>
    </row>
    <row r="27" spans="2:17" hidden="1" x14ac:dyDescent="0.3">
      <c r="B27" s="21" t="s">
        <v>21</v>
      </c>
      <c r="C27" s="102"/>
      <c r="D27" s="23"/>
      <c r="E27" s="23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3">
        <f t="shared" si="35"/>
        <v>0</v>
      </c>
    </row>
    <row r="28" spans="2:17" hidden="1" x14ac:dyDescent="0.3">
      <c r="B28" s="21" t="s">
        <v>21</v>
      </c>
      <c r="C28" s="102"/>
      <c r="D28" s="23"/>
      <c r="E28" s="23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3">
        <f t="shared" si="35"/>
        <v>0</v>
      </c>
    </row>
    <row r="29" spans="2:17" hidden="1" x14ac:dyDescent="0.3">
      <c r="B29" s="21" t="s">
        <v>21</v>
      </c>
      <c r="C29" s="102"/>
      <c r="D29" s="23"/>
      <c r="E29" s="23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3">
        <f t="shared" si="35"/>
        <v>0</v>
      </c>
    </row>
    <row r="30" spans="2:17" hidden="1" x14ac:dyDescent="0.3">
      <c r="B30" s="21" t="s">
        <v>21</v>
      </c>
      <c r="C30" s="102"/>
      <c r="D30" s="23"/>
      <c r="E30" s="23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3">
        <f t="shared" si="35"/>
        <v>0</v>
      </c>
    </row>
    <row r="31" spans="2:17" hidden="1" x14ac:dyDescent="0.3">
      <c r="B31" s="21" t="s">
        <v>21</v>
      </c>
      <c r="C31" s="102"/>
      <c r="D31" s="23"/>
      <c r="E31" s="23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3">
        <f t="shared" si="35"/>
        <v>0</v>
      </c>
    </row>
    <row r="32" spans="2:17" ht="43.2" x14ac:dyDescent="0.3">
      <c r="B32" s="15" t="s">
        <v>105</v>
      </c>
      <c r="C32" s="101" t="s">
        <v>106</v>
      </c>
      <c r="D32" s="23">
        <v>0</v>
      </c>
      <c r="E32" s="23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3">
        <f>SUM(D32:P32)</f>
        <v>0</v>
      </c>
    </row>
    <row r="36" spans="2:9" x14ac:dyDescent="0.3">
      <c r="E36" s="25"/>
      <c r="F36" s="25"/>
      <c r="G36" s="25"/>
      <c r="H36" s="25"/>
      <c r="I36" s="25"/>
    </row>
    <row r="37" spans="2:9" x14ac:dyDescent="0.3">
      <c r="B37" s="26" t="s">
        <v>24</v>
      </c>
    </row>
    <row r="38" spans="2:9" x14ac:dyDescent="0.3">
      <c r="B38" s="27"/>
      <c r="C38" s="28"/>
      <c r="D38" s="28"/>
    </row>
    <row r="39" spans="2:9" ht="28.8" x14ac:dyDescent="0.3">
      <c r="B39" s="27" t="s">
        <v>108</v>
      </c>
      <c r="C39" s="104" t="s">
        <v>111</v>
      </c>
      <c r="D39" s="103">
        <f>NPV((1+Param!$D$4)^(1/12)-1,E5:P5)+D5</f>
        <v>45799.878948093741</v>
      </c>
    </row>
    <row r="40" spans="2:9" ht="28.8" x14ac:dyDescent="0.3">
      <c r="B40" s="27" t="s">
        <v>109</v>
      </c>
      <c r="C40" s="101" t="s">
        <v>112</v>
      </c>
      <c r="D40" s="106" t="s">
        <v>110</v>
      </c>
    </row>
    <row r="41" spans="2:9" ht="28.8" x14ac:dyDescent="0.3">
      <c r="B41" s="27" t="s">
        <v>0</v>
      </c>
      <c r="C41" s="105" t="s">
        <v>113</v>
      </c>
      <c r="D41" s="107" t="s">
        <v>110</v>
      </c>
    </row>
  </sheetData>
  <mergeCells count="2">
    <mergeCell ref="B2:C2"/>
    <mergeCell ref="E2:P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41"/>
  <sheetViews>
    <sheetView showGridLines="0" workbookViewId="0">
      <pane xSplit="2" ySplit="4" topLeftCell="C5" activePane="bottomRight" state="frozen"/>
      <selection activeCell="C6" sqref="C6"/>
      <selection pane="topRight" activeCell="C6" sqref="C6"/>
      <selection pane="bottomLeft" activeCell="C6" sqref="C6"/>
      <selection pane="bottomRight"/>
    </sheetView>
  </sheetViews>
  <sheetFormatPr defaultColWidth="9.21875" defaultRowHeight="14.4" x14ac:dyDescent="0.3"/>
  <cols>
    <col min="1" max="1" width="2.77734375" style="15" customWidth="1"/>
    <col min="2" max="2" width="25.77734375" style="15" customWidth="1"/>
    <col min="3" max="3" width="45.77734375" style="15" customWidth="1"/>
    <col min="4" max="5" width="11.21875" style="15" customWidth="1"/>
    <col min="6" max="6" width="10.77734375" style="15" customWidth="1"/>
    <col min="7" max="9" width="9.21875" style="15"/>
    <col min="10" max="16" width="0" style="15" hidden="1" customWidth="1"/>
    <col min="17" max="16384" width="9.21875" style="15"/>
  </cols>
  <sheetData>
    <row r="2" spans="2:17" x14ac:dyDescent="0.3">
      <c r="B2" s="88" t="str">
        <f>Orcado!B2</f>
        <v>Identificação do Projeto</v>
      </c>
      <c r="C2" s="88"/>
      <c r="D2" s="19"/>
      <c r="E2" s="88" t="s">
        <v>31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67"/>
    </row>
    <row r="3" spans="2:17" x14ac:dyDescent="0.3">
      <c r="B3" s="9" t="s">
        <v>1</v>
      </c>
      <c r="C3" s="70" t="str">
        <f>Param!C17</f>
        <v>Lê Ai</v>
      </c>
      <c r="D3" s="19"/>
      <c r="E3" s="71">
        <f>Orcado!E3</f>
        <v>46235</v>
      </c>
      <c r="F3" s="71">
        <f>Orcado!F3</f>
        <v>46266</v>
      </c>
      <c r="G3" s="71">
        <f>Orcado!G3</f>
        <v>46296</v>
      </c>
      <c r="H3" s="71">
        <f>Orcado!H3</f>
        <v>46327</v>
      </c>
      <c r="I3" s="71">
        <f>Orcado!I3</f>
        <v>46357</v>
      </c>
      <c r="J3" s="71">
        <f>Orcado!J3</f>
        <v>46388</v>
      </c>
      <c r="K3" s="71">
        <f>Orcado!K3</f>
        <v>46419</v>
      </c>
      <c r="L3" s="71">
        <f>Orcado!L3</f>
        <v>46447</v>
      </c>
      <c r="M3" s="71">
        <f>Orcado!M3</f>
        <v>46478</v>
      </c>
      <c r="N3" s="71">
        <f>Orcado!N3</f>
        <v>46508</v>
      </c>
      <c r="O3" s="71">
        <f>Orcado!O3</f>
        <v>46539</v>
      </c>
      <c r="P3" s="71">
        <f>Orcado!P3</f>
        <v>46569</v>
      </c>
      <c r="Q3" s="67" t="s">
        <v>74</v>
      </c>
    </row>
    <row r="4" spans="2:17" x14ac:dyDescent="0.3">
      <c r="B4" s="9" t="s">
        <v>67</v>
      </c>
      <c r="C4" s="70" t="str">
        <f>Param!C19</f>
        <v>Professores orientadores de TI V</v>
      </c>
      <c r="D4" s="66">
        <v>0</v>
      </c>
      <c r="E4" s="66">
        <v>1</v>
      </c>
      <c r="F4" s="66">
        <f>E4+1</f>
        <v>2</v>
      </c>
      <c r="G4" s="66">
        <f t="shared" ref="G4:M4" si="0">F4+1</f>
        <v>3</v>
      </c>
      <c r="H4" s="66">
        <f t="shared" si="0"/>
        <v>4</v>
      </c>
      <c r="I4" s="66">
        <f t="shared" si="0"/>
        <v>5</v>
      </c>
      <c r="J4" s="66">
        <f t="shared" si="0"/>
        <v>6</v>
      </c>
      <c r="K4" s="66">
        <f t="shared" si="0"/>
        <v>7</v>
      </c>
      <c r="L4" s="66">
        <f t="shared" si="0"/>
        <v>8</v>
      </c>
      <c r="M4" s="66">
        <f t="shared" si="0"/>
        <v>9</v>
      </c>
      <c r="N4" s="66">
        <f t="shared" ref="N4" si="1">M4+1</f>
        <v>10</v>
      </c>
      <c r="O4" s="66">
        <f t="shared" ref="O4" si="2">N4+1</f>
        <v>11</v>
      </c>
      <c r="P4" s="66">
        <f t="shared" ref="P4" si="3">O4+1</f>
        <v>12</v>
      </c>
      <c r="Q4" s="67"/>
    </row>
    <row r="5" spans="2:17" x14ac:dyDescent="0.3">
      <c r="B5" s="20" t="s">
        <v>22</v>
      </c>
      <c r="D5" s="24">
        <f t="shared" ref="D5:P5" si="4">SUM(D19:D32)+D9+D11+D13+D15+D17</f>
        <v>0</v>
      </c>
      <c r="E5" s="24">
        <f t="shared" si="4"/>
        <v>10315.75</v>
      </c>
      <c r="F5" s="24">
        <f t="shared" si="4"/>
        <v>10315.75</v>
      </c>
      <c r="G5" s="24">
        <f t="shared" si="4"/>
        <v>10315.75</v>
      </c>
      <c r="H5" s="24">
        <f t="shared" si="4"/>
        <v>0</v>
      </c>
      <c r="I5" s="24">
        <f t="shared" si="4"/>
        <v>0</v>
      </c>
      <c r="J5" s="24">
        <f t="shared" si="4"/>
        <v>0</v>
      </c>
      <c r="K5" s="24">
        <f t="shared" si="4"/>
        <v>0</v>
      </c>
      <c r="L5" s="24">
        <f t="shared" si="4"/>
        <v>0</v>
      </c>
      <c r="M5" s="24">
        <f t="shared" si="4"/>
        <v>0</v>
      </c>
      <c r="N5" s="24">
        <f t="shared" si="4"/>
        <v>0</v>
      </c>
      <c r="O5" s="24">
        <f t="shared" si="4"/>
        <v>0</v>
      </c>
      <c r="P5" s="24">
        <f t="shared" si="4"/>
        <v>0</v>
      </c>
      <c r="Q5" s="73">
        <f>SUM(D5:P5)</f>
        <v>30947.25</v>
      </c>
    </row>
    <row r="6" spans="2:17" x14ac:dyDescent="0.3">
      <c r="B6" s="20" t="s">
        <v>40</v>
      </c>
      <c r="D6" s="24">
        <f>D5</f>
        <v>0</v>
      </c>
      <c r="E6" s="24">
        <f>D6+E5</f>
        <v>10315.75</v>
      </c>
      <c r="F6" s="24">
        <f t="shared" ref="F6:M6" si="5">E6+F5</f>
        <v>20631.5</v>
      </c>
      <c r="G6" s="24">
        <f t="shared" si="5"/>
        <v>30947.25</v>
      </c>
      <c r="H6" s="24">
        <f t="shared" si="5"/>
        <v>30947.25</v>
      </c>
      <c r="I6" s="24">
        <f t="shared" si="5"/>
        <v>30947.25</v>
      </c>
      <c r="J6" s="24">
        <f t="shared" si="5"/>
        <v>30947.25</v>
      </c>
      <c r="K6" s="24">
        <f t="shared" si="5"/>
        <v>30947.25</v>
      </c>
      <c r="L6" s="24">
        <f t="shared" si="5"/>
        <v>30947.25</v>
      </c>
      <c r="M6" s="24">
        <f t="shared" si="5"/>
        <v>30947.25</v>
      </c>
      <c r="N6" s="24">
        <f t="shared" ref="N6" si="6">M6+N5</f>
        <v>30947.25</v>
      </c>
      <c r="O6" s="24">
        <f t="shared" ref="O6" si="7">N6+O5</f>
        <v>30947.25</v>
      </c>
      <c r="P6" s="24">
        <f t="shared" ref="P6" si="8">O6+P5</f>
        <v>30947.25</v>
      </c>
    </row>
    <row r="7" spans="2:17" x14ac:dyDescent="0.3">
      <c r="B7" s="9" t="s">
        <v>34</v>
      </c>
      <c r="C7" s="20" t="s">
        <v>4</v>
      </c>
      <c r="D7" s="20"/>
    </row>
    <row r="8" spans="2:17" hidden="1" x14ac:dyDescent="0.3">
      <c r="B8" s="9" t="s">
        <v>41</v>
      </c>
      <c r="C8" s="77"/>
      <c r="D8" s="87"/>
      <c r="E8" s="87"/>
      <c r="F8" s="87"/>
      <c r="G8" s="87"/>
      <c r="H8" s="87"/>
      <c r="I8" s="87"/>
      <c r="J8" s="87"/>
      <c r="K8" s="87"/>
      <c r="L8" s="87"/>
      <c r="M8" s="87"/>
      <c r="N8" s="77"/>
      <c r="O8" s="77"/>
      <c r="P8" s="77"/>
      <c r="Q8" s="81"/>
    </row>
    <row r="9" spans="2:17" hidden="1" x14ac:dyDescent="0.3">
      <c r="B9" s="82" t="str">
        <f>Orcado!B9</f>
        <v>Gasto</v>
      </c>
      <c r="C9" s="83"/>
      <c r="D9" s="84"/>
      <c r="E9" s="84">
        <v>0</v>
      </c>
      <c r="F9" s="84">
        <f>E9*(1+F8)</f>
        <v>0</v>
      </c>
      <c r="G9" s="84">
        <f>F9*(1+G8)</f>
        <v>0</v>
      </c>
      <c r="H9" s="84">
        <f t="shared" ref="H9:M9" si="9">G9*(1+H8)</f>
        <v>0</v>
      </c>
      <c r="I9" s="84">
        <f t="shared" si="9"/>
        <v>0</v>
      </c>
      <c r="J9" s="84">
        <f t="shared" si="9"/>
        <v>0</v>
      </c>
      <c r="K9" s="84">
        <f t="shared" si="9"/>
        <v>0</v>
      </c>
      <c r="L9" s="84">
        <f t="shared" si="9"/>
        <v>0</v>
      </c>
      <c r="M9" s="84">
        <f t="shared" si="9"/>
        <v>0</v>
      </c>
      <c r="N9" s="84">
        <f t="shared" ref="N9" si="10">M9*(1+N8)</f>
        <v>0</v>
      </c>
      <c r="O9" s="84">
        <f t="shared" ref="O9" si="11">N9*(1+O8)</f>
        <v>0</v>
      </c>
      <c r="P9" s="84">
        <f t="shared" ref="P9" si="12">O9*(1+P8)</f>
        <v>0</v>
      </c>
      <c r="Q9" s="86">
        <f>SUM(D9:P9)</f>
        <v>0</v>
      </c>
    </row>
    <row r="10" spans="2:17" hidden="1" x14ac:dyDescent="0.3">
      <c r="B10" s="33"/>
      <c r="C10" s="7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1"/>
    </row>
    <row r="11" spans="2:17" hidden="1" x14ac:dyDescent="0.3">
      <c r="B11" s="82" t="str">
        <f>Orcado!B11</f>
        <v>Gasto</v>
      </c>
      <c r="C11" s="83"/>
      <c r="D11" s="84"/>
      <c r="E11" s="84">
        <v>0</v>
      </c>
      <c r="F11" s="84">
        <f>E11*(1+F10)</f>
        <v>0</v>
      </c>
      <c r="G11" s="84">
        <f>F11*(1+G10)</f>
        <v>0</v>
      </c>
      <c r="H11" s="84">
        <f t="shared" ref="H11:M11" si="13">G11*(1+H10)</f>
        <v>0</v>
      </c>
      <c r="I11" s="84">
        <f t="shared" si="13"/>
        <v>0</v>
      </c>
      <c r="J11" s="84">
        <f t="shared" si="13"/>
        <v>0</v>
      </c>
      <c r="K11" s="84">
        <f t="shared" si="13"/>
        <v>0</v>
      </c>
      <c r="L11" s="84">
        <f t="shared" si="13"/>
        <v>0</v>
      </c>
      <c r="M11" s="84">
        <f t="shared" si="13"/>
        <v>0</v>
      </c>
      <c r="N11" s="84">
        <f t="shared" ref="N11" si="14">M11*(1+N10)</f>
        <v>0</v>
      </c>
      <c r="O11" s="84">
        <f t="shared" ref="O11" si="15">N11*(1+O10)</f>
        <v>0</v>
      </c>
      <c r="P11" s="84">
        <f t="shared" ref="P11" si="16">O11*(1+P10)</f>
        <v>0</v>
      </c>
      <c r="Q11" s="86">
        <f>SUM(D11:P11)</f>
        <v>0</v>
      </c>
    </row>
    <row r="12" spans="2:17" hidden="1" x14ac:dyDescent="0.3">
      <c r="B12" s="33"/>
      <c r="C12" s="7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1"/>
    </row>
    <row r="13" spans="2:17" hidden="1" x14ac:dyDescent="0.3">
      <c r="B13" s="82" t="str">
        <f>Orcado!B13</f>
        <v>Gasto</v>
      </c>
      <c r="C13" s="83"/>
      <c r="D13" s="84"/>
      <c r="E13" s="84">
        <v>0</v>
      </c>
      <c r="F13" s="84">
        <f>E13*(1+F12)</f>
        <v>0</v>
      </c>
      <c r="G13" s="84">
        <f>F13*(1+G12)</f>
        <v>0</v>
      </c>
      <c r="H13" s="84">
        <f t="shared" ref="H13:M13" si="17">G13*(1+H12)</f>
        <v>0</v>
      </c>
      <c r="I13" s="84">
        <f t="shared" si="17"/>
        <v>0</v>
      </c>
      <c r="J13" s="84">
        <f t="shared" si="17"/>
        <v>0</v>
      </c>
      <c r="K13" s="84">
        <f t="shared" si="17"/>
        <v>0</v>
      </c>
      <c r="L13" s="84">
        <f t="shared" si="17"/>
        <v>0</v>
      </c>
      <c r="M13" s="84">
        <f t="shared" si="17"/>
        <v>0</v>
      </c>
      <c r="N13" s="84">
        <f t="shared" ref="N13" si="18">M13*(1+N12)</f>
        <v>0</v>
      </c>
      <c r="O13" s="84">
        <f t="shared" ref="O13" si="19">N13*(1+O12)</f>
        <v>0</v>
      </c>
      <c r="P13" s="84">
        <f t="shared" ref="P13" si="20">O13*(1+P12)</f>
        <v>0</v>
      </c>
      <c r="Q13" s="86">
        <f>SUM(D13:P13)</f>
        <v>0</v>
      </c>
    </row>
    <row r="14" spans="2:17" hidden="1" x14ac:dyDescent="0.3">
      <c r="B14" s="33"/>
      <c r="C14" s="7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1"/>
    </row>
    <row r="15" spans="2:17" hidden="1" x14ac:dyDescent="0.3">
      <c r="B15" s="82" t="str">
        <f>Orcado!B15</f>
        <v>Gasto</v>
      </c>
      <c r="C15" s="83"/>
      <c r="D15" s="84"/>
      <c r="E15" s="84">
        <v>0</v>
      </c>
      <c r="F15" s="84">
        <f>E15*(1+F14)</f>
        <v>0</v>
      </c>
      <c r="G15" s="84">
        <f>F15*(1+G14)</f>
        <v>0</v>
      </c>
      <c r="H15" s="84">
        <f t="shared" ref="H15:M15" si="21">G15*(1+H14)</f>
        <v>0</v>
      </c>
      <c r="I15" s="84">
        <f t="shared" si="21"/>
        <v>0</v>
      </c>
      <c r="J15" s="84">
        <f t="shared" si="21"/>
        <v>0</v>
      </c>
      <c r="K15" s="84">
        <f t="shared" si="21"/>
        <v>0</v>
      </c>
      <c r="L15" s="84">
        <f t="shared" si="21"/>
        <v>0</v>
      </c>
      <c r="M15" s="84">
        <f t="shared" si="21"/>
        <v>0</v>
      </c>
      <c r="N15" s="84">
        <f t="shared" ref="N15" si="22">M15*(1+N14)</f>
        <v>0</v>
      </c>
      <c r="O15" s="84">
        <f t="shared" ref="O15" si="23">N15*(1+O14)</f>
        <v>0</v>
      </c>
      <c r="P15" s="84">
        <f t="shared" ref="P15" si="24">O15*(1+P14)</f>
        <v>0</v>
      </c>
      <c r="Q15" s="86">
        <f>SUM(D15:P15)</f>
        <v>0</v>
      </c>
    </row>
    <row r="16" spans="2:17" hidden="1" x14ac:dyDescent="0.3">
      <c r="B16" s="33"/>
      <c r="C16" s="7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1"/>
    </row>
    <row r="17" spans="2:17" hidden="1" x14ac:dyDescent="0.3">
      <c r="B17" s="82" t="str">
        <f>Orcado!B17</f>
        <v>Gasto</v>
      </c>
      <c r="C17" s="83"/>
      <c r="D17" s="84"/>
      <c r="E17" s="84">
        <v>0</v>
      </c>
      <c r="F17" s="84">
        <f>E17*(1+F16)</f>
        <v>0</v>
      </c>
      <c r="G17" s="84">
        <f>F17*(1+G16)</f>
        <v>0</v>
      </c>
      <c r="H17" s="84">
        <f t="shared" ref="H17:M17" si="25">G17*(1+H16)</f>
        <v>0</v>
      </c>
      <c r="I17" s="84">
        <f t="shared" si="25"/>
        <v>0</v>
      </c>
      <c r="J17" s="84">
        <f t="shared" si="25"/>
        <v>0</v>
      </c>
      <c r="K17" s="84">
        <f t="shared" si="25"/>
        <v>0</v>
      </c>
      <c r="L17" s="84">
        <f t="shared" si="25"/>
        <v>0</v>
      </c>
      <c r="M17" s="84">
        <f t="shared" si="25"/>
        <v>0</v>
      </c>
      <c r="N17" s="84">
        <f t="shared" ref="N17" si="26">M17*(1+N16)</f>
        <v>0</v>
      </c>
      <c r="O17" s="84">
        <f t="shared" ref="O17" si="27">N17*(1+O16)</f>
        <v>0</v>
      </c>
      <c r="P17" s="84">
        <f t="shared" ref="P17" si="28">O17*(1+P16)</f>
        <v>0</v>
      </c>
      <c r="Q17" s="86">
        <f>SUM(D17:P17)</f>
        <v>0</v>
      </c>
    </row>
    <row r="18" spans="2:17" x14ac:dyDescent="0.3">
      <c r="B18" s="9" t="s">
        <v>20</v>
      </c>
    </row>
    <row r="19" spans="2:17" ht="43.2" x14ac:dyDescent="0.3">
      <c r="B19" s="15" t="str">
        <f>Orcado!B19</f>
        <v>Recursos humanos (equipe)</v>
      </c>
      <c r="C19" s="101" t="s">
        <v>96</v>
      </c>
      <c r="D19" s="75">
        <v>0</v>
      </c>
      <c r="E19" s="75">
        <f>Orcado!E19</f>
        <v>7200</v>
      </c>
      <c r="F19" s="76">
        <f>Orcado!F19</f>
        <v>7200</v>
      </c>
      <c r="G19" s="76">
        <f>Orcado!G19</f>
        <v>7200</v>
      </c>
      <c r="H19" s="76"/>
      <c r="I19" s="76"/>
      <c r="J19" s="76"/>
      <c r="K19" s="76"/>
      <c r="L19" s="76"/>
      <c r="M19" s="76"/>
      <c r="N19" s="76"/>
      <c r="O19" s="76"/>
      <c r="P19" s="76"/>
      <c r="Q19" s="73">
        <f>SUM(D19:P19)</f>
        <v>21600</v>
      </c>
    </row>
    <row r="20" spans="2:17" ht="43.2" x14ac:dyDescent="0.3">
      <c r="B20" s="15" t="str">
        <f>Orcado!B20</f>
        <v>Hardware (depreciação)</v>
      </c>
      <c r="C20" s="101" t="s">
        <v>96</v>
      </c>
      <c r="D20" s="75">
        <v>0</v>
      </c>
      <c r="E20" s="75">
        <f>Orcado!E20</f>
        <v>468.75</v>
      </c>
      <c r="F20" s="76">
        <f>Orcado!F20</f>
        <v>468.75</v>
      </c>
      <c r="G20" s="76">
        <f>Orcado!G20</f>
        <v>468.75</v>
      </c>
      <c r="H20" s="76"/>
      <c r="I20" s="76"/>
      <c r="J20" s="76"/>
      <c r="K20" s="76"/>
      <c r="L20" s="76"/>
      <c r="M20" s="76"/>
      <c r="N20" s="76"/>
      <c r="O20" s="76"/>
      <c r="P20" s="76"/>
      <c r="Q20" s="73">
        <f>SUM(D20:P20)</f>
        <v>1406.25</v>
      </c>
    </row>
    <row r="21" spans="2:17" ht="43.2" x14ac:dyDescent="0.3">
      <c r="B21" s="15" t="str">
        <f>Orcado!B21</f>
        <v>Rede e hospedagem</v>
      </c>
      <c r="C21" s="101" t="s">
        <v>96</v>
      </c>
      <c r="D21" s="75">
        <v>0</v>
      </c>
      <c r="E21" s="75">
        <f>Orcado!E21</f>
        <v>297</v>
      </c>
      <c r="F21" s="76">
        <f>Orcado!F21</f>
        <v>297</v>
      </c>
      <c r="G21" s="76">
        <f>Orcado!G21</f>
        <v>297</v>
      </c>
      <c r="H21" s="76"/>
      <c r="I21" s="76"/>
      <c r="J21" s="76"/>
      <c r="K21" s="76"/>
      <c r="L21" s="76"/>
      <c r="M21" s="76"/>
      <c r="N21" s="76"/>
      <c r="O21" s="76"/>
      <c r="P21" s="76"/>
      <c r="Q21" s="73">
        <f>SUM(D21:P21)</f>
        <v>891</v>
      </c>
    </row>
    <row r="22" spans="2:17" ht="43.2" x14ac:dyDescent="0.3">
      <c r="B22" s="15" t="str">
        <f>Orcado!B22</f>
        <v>Software de terceiros</v>
      </c>
      <c r="C22" s="101" t="s">
        <v>96</v>
      </c>
      <c r="D22" s="75">
        <v>0</v>
      </c>
      <c r="E22" s="75">
        <f>Orcado!E22</f>
        <v>550</v>
      </c>
      <c r="F22" s="76">
        <f>Orcado!F22</f>
        <v>550</v>
      </c>
      <c r="G22" s="76">
        <f>Orcado!G22</f>
        <v>550</v>
      </c>
      <c r="H22" s="76"/>
      <c r="I22" s="76"/>
      <c r="J22" s="76"/>
      <c r="K22" s="76"/>
      <c r="L22" s="76"/>
      <c r="M22" s="76"/>
      <c r="N22" s="76"/>
      <c r="O22" s="76"/>
      <c r="P22" s="76"/>
      <c r="Q22" s="73">
        <f>SUM(D22:P22)</f>
        <v>1650</v>
      </c>
    </row>
    <row r="23" spans="2:17" ht="43.2" x14ac:dyDescent="0.3">
      <c r="B23" s="15" t="str">
        <f>Orcado!B23</f>
        <v>Serviços e treinamento</v>
      </c>
      <c r="C23" s="101" t="s">
        <v>96</v>
      </c>
      <c r="D23" s="75">
        <v>0</v>
      </c>
      <c r="E23" s="75">
        <f>Orcado!E23</f>
        <v>1800</v>
      </c>
      <c r="F23" s="76">
        <f>Orcado!F23</f>
        <v>1800</v>
      </c>
      <c r="G23" s="76">
        <f>Orcado!G23</f>
        <v>1800</v>
      </c>
      <c r="H23" s="76"/>
      <c r="I23" s="76"/>
      <c r="J23" s="76"/>
      <c r="K23" s="76"/>
      <c r="L23" s="76"/>
      <c r="M23" s="76"/>
      <c r="N23" s="76"/>
      <c r="O23" s="76"/>
      <c r="P23" s="76"/>
      <c r="Q23" s="73">
        <f>SUM(D23:P23)</f>
        <v>5400</v>
      </c>
    </row>
    <row r="24" spans="2:17" hidden="1" x14ac:dyDescent="0.3">
      <c r="B24" s="21" t="str">
        <f>Orcado!B24</f>
        <v>Custo</v>
      </c>
      <c r="C24" s="102"/>
      <c r="D24" s="75"/>
      <c r="E24" s="75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3">
        <f t="shared" ref="Q24:Q31" si="29">SUM(D24:P24)</f>
        <v>0</v>
      </c>
    </row>
    <row r="25" spans="2:17" hidden="1" x14ac:dyDescent="0.3">
      <c r="B25" s="21" t="str">
        <f>Orcado!B25</f>
        <v>Custo</v>
      </c>
      <c r="C25" s="102"/>
      <c r="D25" s="75"/>
      <c r="E25" s="75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3">
        <f t="shared" si="29"/>
        <v>0</v>
      </c>
    </row>
    <row r="26" spans="2:17" hidden="1" x14ac:dyDescent="0.3">
      <c r="B26" s="21" t="str">
        <f>Orcado!B26</f>
        <v>Custo</v>
      </c>
      <c r="C26" s="102"/>
      <c r="D26" s="75"/>
      <c r="E26" s="75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3">
        <f t="shared" si="29"/>
        <v>0</v>
      </c>
    </row>
    <row r="27" spans="2:17" hidden="1" x14ac:dyDescent="0.3">
      <c r="B27" s="21" t="str">
        <f>Orcado!B27</f>
        <v>Custo</v>
      </c>
      <c r="C27" s="102"/>
      <c r="D27" s="75"/>
      <c r="E27" s="75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3">
        <f t="shared" si="29"/>
        <v>0</v>
      </c>
    </row>
    <row r="28" spans="2:17" hidden="1" x14ac:dyDescent="0.3">
      <c r="B28" s="21" t="str">
        <f>Orcado!B28</f>
        <v>Custo</v>
      </c>
      <c r="C28" s="102"/>
      <c r="D28" s="75"/>
      <c r="E28" s="75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3">
        <f t="shared" si="29"/>
        <v>0</v>
      </c>
    </row>
    <row r="29" spans="2:17" hidden="1" x14ac:dyDescent="0.3">
      <c r="B29" s="21" t="str">
        <f>Orcado!B29</f>
        <v>Custo</v>
      </c>
      <c r="C29" s="102"/>
      <c r="D29" s="75"/>
      <c r="E29" s="75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3">
        <f t="shared" si="29"/>
        <v>0</v>
      </c>
    </row>
    <row r="30" spans="2:17" hidden="1" x14ac:dyDescent="0.3">
      <c r="B30" s="21" t="str">
        <f>Orcado!B30</f>
        <v>Custo</v>
      </c>
      <c r="C30" s="102"/>
      <c r="D30" s="75"/>
      <c r="E30" s="75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3">
        <f t="shared" si="29"/>
        <v>0</v>
      </c>
    </row>
    <row r="31" spans="2:17" hidden="1" x14ac:dyDescent="0.3">
      <c r="B31" s="21" t="str">
        <f>Orcado!B31</f>
        <v>Custo</v>
      </c>
      <c r="C31" s="102"/>
      <c r="D31" s="75"/>
      <c r="E31" s="75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3">
        <f t="shared" si="29"/>
        <v>0</v>
      </c>
    </row>
    <row r="32" spans="2:17" x14ac:dyDescent="0.3">
      <c r="B32" s="15" t="str">
        <f>Orcado!B32</f>
        <v>Reserva de contingência</v>
      </c>
      <c r="C32" s="101" t="s">
        <v>107</v>
      </c>
      <c r="D32" s="75">
        <v>0</v>
      </c>
      <c r="E32" s="75">
        <v>0</v>
      </c>
      <c r="F32" s="76">
        <v>0</v>
      </c>
      <c r="G32" s="76">
        <v>0</v>
      </c>
      <c r="H32" s="76"/>
      <c r="I32" s="76"/>
      <c r="J32" s="76"/>
      <c r="K32" s="76"/>
      <c r="L32" s="76"/>
      <c r="M32" s="76"/>
      <c r="N32" s="76"/>
      <c r="O32" s="76"/>
      <c r="P32" s="76"/>
      <c r="Q32" s="73">
        <f>SUM(D32:P32)</f>
        <v>0</v>
      </c>
    </row>
    <row r="36" spans="2:9" x14ac:dyDescent="0.3">
      <c r="E36" s="25"/>
      <c r="F36" s="25"/>
      <c r="G36" s="25"/>
      <c r="H36" s="25"/>
      <c r="I36" s="25"/>
    </row>
    <row r="37" spans="2:9" x14ac:dyDescent="0.3">
      <c r="B37" s="26" t="s">
        <v>24</v>
      </c>
    </row>
    <row r="38" spans="2:9" x14ac:dyDescent="0.3">
      <c r="B38" s="27"/>
      <c r="C38" s="28"/>
      <c r="D38" s="28"/>
    </row>
    <row r="39" spans="2:9" ht="28.8" x14ac:dyDescent="0.3">
      <c r="B39" s="27" t="s">
        <v>108</v>
      </c>
      <c r="C39" s="104" t="s">
        <v>111</v>
      </c>
      <c r="D39" s="103">
        <f>NPV((1+Param!$D$4)^(1/12)-1,E5:P5)+D5</f>
        <v>30648.401782723493</v>
      </c>
    </row>
    <row r="40" spans="2:9" ht="28.8" x14ac:dyDescent="0.3">
      <c r="B40" s="27" t="s">
        <v>109</v>
      </c>
      <c r="C40" s="101" t="s">
        <v>112</v>
      </c>
      <c r="D40" s="106" t="s">
        <v>110</v>
      </c>
    </row>
    <row r="41" spans="2:9" ht="28.8" x14ac:dyDescent="0.3">
      <c r="B41" s="27" t="s">
        <v>0</v>
      </c>
      <c r="C41" s="105" t="s">
        <v>113</v>
      </c>
      <c r="D41" s="107" t="s">
        <v>110</v>
      </c>
    </row>
  </sheetData>
  <mergeCells count="2">
    <mergeCell ref="B2:C2"/>
    <mergeCell ref="E2:P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9"/>
  <sheetViews>
    <sheetView showGridLines="0" workbookViewId="0"/>
  </sheetViews>
  <sheetFormatPr defaultColWidth="9.21875" defaultRowHeight="14.4" x14ac:dyDescent="0.3"/>
  <cols>
    <col min="1" max="1" width="2.77734375" style="15" customWidth="1"/>
    <col min="2" max="2" width="10.77734375" style="15" customWidth="1"/>
    <col min="3" max="3" width="9.21875" style="15"/>
    <col min="4" max="4" width="10" style="15" customWidth="1"/>
    <col min="5" max="6" width="9.21875" style="15"/>
    <col min="7" max="7" width="10.21875" style="15" customWidth="1"/>
    <col min="8" max="16384" width="9.21875" style="15"/>
  </cols>
  <sheetData>
    <row r="2" spans="2:8" x14ac:dyDescent="0.3">
      <c r="B2" s="3" t="s">
        <v>32</v>
      </c>
      <c r="C2" s="96" t="s">
        <v>37</v>
      </c>
      <c r="D2" s="97"/>
      <c r="E2" s="96" t="s">
        <v>38</v>
      </c>
      <c r="F2" s="97"/>
      <c r="G2" s="4" t="s">
        <v>39</v>
      </c>
      <c r="H2" s="4" t="s">
        <v>33</v>
      </c>
    </row>
    <row r="3" spans="2:8" x14ac:dyDescent="0.3">
      <c r="B3" s="3" t="s">
        <v>31</v>
      </c>
      <c r="C3" s="5" t="s">
        <v>36</v>
      </c>
      <c r="D3" s="6" t="s">
        <v>34</v>
      </c>
      <c r="E3" s="5" t="s">
        <v>36</v>
      </c>
      <c r="F3" s="6" t="s">
        <v>34</v>
      </c>
      <c r="G3" s="7"/>
      <c r="H3" s="7"/>
    </row>
    <row r="4" spans="2:8" x14ac:dyDescent="0.3">
      <c r="B4" s="16">
        <v>0</v>
      </c>
      <c r="C4" s="18">
        <f>HLOOKUP($B4,Orcado!$D$4:$P$5,2,FALSE)</f>
        <v>0</v>
      </c>
      <c r="D4" s="18">
        <f>IF($B4&gt;Param!$C$22,"",HLOOKUP($B4,Realizado!$D$4:$P$5,2,FALSE))</f>
        <v>0</v>
      </c>
      <c r="E4" s="18">
        <f>C4</f>
        <v>0</v>
      </c>
      <c r="F4" s="18">
        <f>D4</f>
        <v>0</v>
      </c>
      <c r="G4" s="18">
        <f>IF(ISNA(F4),"",F4-E4)</f>
        <v>0</v>
      </c>
      <c r="H4" s="17" t="str">
        <f>IF(ISNA(F4),"",IF(E4=0,"",F4/E4-1))</f>
        <v/>
      </c>
    </row>
    <row r="5" spans="2:8" x14ac:dyDescent="0.3">
      <c r="B5" s="16">
        <f>B4+1</f>
        <v>1</v>
      </c>
      <c r="C5" s="18">
        <f>HLOOKUP($B5,Orcado!$D$4:$P$5,2,FALSE)</f>
        <v>10315.75</v>
      </c>
      <c r="D5" s="18">
        <f>IF($B5&gt;Param!$C$22,"",HLOOKUP($B5,Realizado!$D$4:$P$5,2,FALSE))</f>
        <v>10315.75</v>
      </c>
      <c r="E5" s="18">
        <f>E4+C5</f>
        <v>10315.75</v>
      </c>
      <c r="F5" s="18">
        <f>IF($B5&gt;Param!$C$22,NA(),F4+D5)</f>
        <v>10315.75</v>
      </c>
      <c r="G5" s="18">
        <f>IF(ISNA(F5),"",F5-E5)</f>
        <v>0</v>
      </c>
      <c r="H5" s="17">
        <f>IF(ISNA(F5),"",IF(E5=0,"",F5/E5-1))</f>
        <v>0</v>
      </c>
    </row>
    <row r="6" spans="2:8" x14ac:dyDescent="0.3">
      <c r="B6" s="16">
        <f t="shared" ref="B6:B16" si="0">B5+1</f>
        <v>2</v>
      </c>
      <c r="C6" s="18">
        <f>HLOOKUP($B6,Orcado!$D$4:$P$5,2,FALSE)</f>
        <v>10315.75</v>
      </c>
      <c r="D6" s="18">
        <f>IF($B6&gt;Param!$C$22,"",HLOOKUP($B6,Realizado!$D$4:$P$5,2,FALSE))</f>
        <v>10315.75</v>
      </c>
      <c r="E6" s="18">
        <f t="shared" ref="E6:F13" si="1">E5+C6</f>
        <v>20631.5</v>
      </c>
      <c r="F6" s="18">
        <f>IF($B6&gt;Param!$C$22,NA(),F5+D6)</f>
        <v>20631.5</v>
      </c>
      <c r="G6" s="18">
        <f>IF(ISNA(F6),"",F6-E6)</f>
        <v>0</v>
      </c>
      <c r="H6" s="17">
        <f>IF(ISNA(F6),"",IF(E6=0,"",F6/E6-1))</f>
        <v>0</v>
      </c>
    </row>
    <row r="7" spans="2:8" x14ac:dyDescent="0.3">
      <c r="B7" s="16">
        <f t="shared" si="0"/>
        <v>3</v>
      </c>
      <c r="C7" s="18">
        <f>HLOOKUP($B7,Orcado!$D$4:$P$5,2,FALSE)</f>
        <v>10315.75</v>
      </c>
      <c r="D7" s="18">
        <f>IF($B7&gt;Param!$C$22,"",HLOOKUP($B7,Realizado!$D$4:$P$5,2,FALSE))</f>
        <v>10315.75</v>
      </c>
      <c r="E7" s="18">
        <f t="shared" si="1"/>
        <v>30947.25</v>
      </c>
      <c r="F7" s="18">
        <f>IF($B7&gt;Param!$C$22,NA(),F6+D7)</f>
        <v>30947.25</v>
      </c>
      <c r="G7" s="18">
        <f>IF(ISNA(F7),"",F7-E7)</f>
        <v>0</v>
      </c>
      <c r="H7" s="17">
        <f>IF(ISNA(F7),"",IF(E7=0,"",F7/E7-1))</f>
        <v>0</v>
      </c>
    </row>
    <row r="8" spans="2:8" x14ac:dyDescent="0.3">
      <c r="B8" s="16">
        <f t="shared" si="0"/>
        <v>4</v>
      </c>
      <c r="C8" s="18">
        <f>HLOOKUP($B8,Orcado!$D$4:$P$5,2,FALSE)</f>
        <v>10315.75</v>
      </c>
      <c r="D8" s="18" t="str">
        <f>IF($B8&gt;Param!$C$22,"",HLOOKUP($B8,Realizado!$D$4:$P$5,2,FALSE))</f>
        <v/>
      </c>
      <c r="E8" s="18">
        <f t="shared" si="1"/>
        <v>41263</v>
      </c>
      <c r="F8" s="18" t="e">
        <f>IF($B8&gt;Param!$C$22,NA(),F7+D8)</f>
        <v>#N/A</v>
      </c>
      <c r="G8" s="18" t="str">
        <f>IF(ISNA(F8),"",F8-E8)</f>
        <v/>
      </c>
      <c r="H8" s="17" t="str">
        <f>IF(ISNA(F8),"",IF(E8=0,"",F8/E8-1))</f>
        <v/>
      </c>
    </row>
    <row r="9" spans="2:8" x14ac:dyDescent="0.3">
      <c r="B9" s="16">
        <f t="shared" si="0"/>
        <v>5</v>
      </c>
      <c r="C9" s="18">
        <f>HLOOKUP($B9,Orcado!$D$4:$P$5,2,FALSE)</f>
        <v>5157.875</v>
      </c>
      <c r="D9" s="18" t="str">
        <f>IF($B9&gt;Param!$C$22,"",HLOOKUP($B9,Realizado!$D$4:$P$5,2,FALSE))</f>
        <v/>
      </c>
      <c r="E9" s="18">
        <f t="shared" si="1"/>
        <v>46420.875</v>
      </c>
      <c r="F9" s="18" t="e">
        <f>IF($B9&gt;Param!$C$22,NA(),F8+D9)</f>
        <v>#N/A</v>
      </c>
      <c r="G9" s="18" t="str">
        <f>IF(ISNA(F9),"",F9-E9)</f>
        <v/>
      </c>
      <c r="H9" s="17" t="str">
        <f>IF(ISNA(F9),"",IF(E9=0,"",F9/E9-1))</f>
        <v/>
      </c>
    </row>
    <row r="10" spans="2:8" hidden="1" x14ac:dyDescent="0.3">
      <c r="B10" s="16">
        <f t="shared" si="0"/>
        <v>6</v>
      </c>
      <c r="C10" s="18">
        <f>HLOOKUP($B10,Orcado!$D$4:$P$5,2,FALSE)</f>
        <v>0</v>
      </c>
      <c r="D10" s="18" t="str">
        <f>IF($B10&gt;Param!$C$22,"",HLOOKUP($B10,Realizado!$D$4:$P$5,2,FALSE))</f>
        <v/>
      </c>
      <c r="E10" s="18">
        <f t="shared" si="1"/>
        <v>46420.875</v>
      </c>
      <c r="F10" s="18" t="e">
        <f>IF($B10&gt;Param!$C$22,NA(),F9+D10)</f>
        <v>#N/A</v>
      </c>
      <c r="G10" s="18" t="str">
        <f>IF(ISNA(F10),"",F10-E10)</f>
        <v/>
      </c>
      <c r="H10" s="17" t="str">
        <f>IF(ISNA(F10),"",IF(E10=0,"",F10/E10-1))</f>
        <v/>
      </c>
    </row>
    <row r="11" spans="2:8" hidden="1" x14ac:dyDescent="0.3">
      <c r="B11" s="16">
        <f t="shared" si="0"/>
        <v>7</v>
      </c>
      <c r="C11" s="18">
        <f>HLOOKUP($B11,Orcado!$D$4:$P$5,2,FALSE)</f>
        <v>0</v>
      </c>
      <c r="D11" s="18" t="str">
        <f>IF($B11&gt;Param!$C$22,"",HLOOKUP($B11,Realizado!$D$4:$P$5,2,FALSE))</f>
        <v/>
      </c>
      <c r="E11" s="18">
        <f t="shared" si="1"/>
        <v>46420.875</v>
      </c>
      <c r="F11" s="18" t="e">
        <f>IF($B11&gt;Param!$C$22,NA(),F10+D11)</f>
        <v>#N/A</v>
      </c>
      <c r="G11" s="18" t="str">
        <f>IF(ISNA(F11),"",F11-E11)</f>
        <v/>
      </c>
      <c r="H11" s="17" t="str">
        <f>IF(ISNA(F11),"",IF(E11=0,"",F11/E11-1))</f>
        <v/>
      </c>
    </row>
    <row r="12" spans="2:8" hidden="1" x14ac:dyDescent="0.3">
      <c r="B12" s="16">
        <f t="shared" si="0"/>
        <v>8</v>
      </c>
      <c r="C12" s="18">
        <f>HLOOKUP($B12,Orcado!$D$4:$P$5,2,FALSE)</f>
        <v>0</v>
      </c>
      <c r="D12" s="18" t="str">
        <f>IF($B12&gt;Param!$C$22,"",HLOOKUP($B12,Realizado!$D$4:$P$5,2,FALSE))</f>
        <v/>
      </c>
      <c r="E12" s="18">
        <f t="shared" si="1"/>
        <v>46420.875</v>
      </c>
      <c r="F12" s="18" t="e">
        <f>IF($B12&gt;Param!$C$22,NA(),F11+D12)</f>
        <v>#N/A</v>
      </c>
      <c r="G12" s="18" t="str">
        <f>IF(ISNA(F12),"",F12-E12)</f>
        <v/>
      </c>
      <c r="H12" s="17" t="str">
        <f>IF(ISNA(F12),"",IF(E12=0,"",F12/E12-1))</f>
        <v/>
      </c>
    </row>
    <row r="13" spans="2:8" hidden="1" x14ac:dyDescent="0.3">
      <c r="B13" s="16">
        <f t="shared" si="0"/>
        <v>9</v>
      </c>
      <c r="C13" s="18">
        <f>HLOOKUP($B13,Orcado!$D$4:$P$5,2,FALSE)</f>
        <v>0</v>
      </c>
      <c r="D13" s="18" t="str">
        <f>IF($B13&gt;Param!$C$22,"",HLOOKUP($B13,Realizado!$D$4:$P$5,2,FALSE))</f>
        <v/>
      </c>
      <c r="E13" s="18">
        <f t="shared" si="1"/>
        <v>46420.875</v>
      </c>
      <c r="F13" s="18" t="e">
        <f>IF($B13&gt;Param!$C$22,NA(),F12+D13)</f>
        <v>#N/A</v>
      </c>
      <c r="G13" s="18" t="str">
        <f>IF(ISNA(F13),"",F13-E13)</f>
        <v/>
      </c>
      <c r="H13" s="17" t="str">
        <f>IF(ISNA(F13),"",IF(E13=0,"",F13/E13-1))</f>
        <v/>
      </c>
    </row>
    <row r="14" spans="2:8" hidden="1" x14ac:dyDescent="0.3">
      <c r="B14" s="16">
        <f t="shared" si="0"/>
        <v>10</v>
      </c>
      <c r="C14" s="18">
        <f>HLOOKUP($B14,Orcado!$D$4:$P$5,2,FALSE)</f>
        <v>0</v>
      </c>
      <c r="D14" s="18" t="str">
        <f>IF($B14&gt;Param!$C$22,"",HLOOKUP($B14,Realizado!$D$4:$P$5,2,FALSE))</f>
        <v/>
      </c>
      <c r="E14" s="18">
        <f t="shared" ref="E14:E16" si="2">E13+C14</f>
        <v>46420.875</v>
      </c>
      <c r="F14" s="18" t="e">
        <f>IF($B14&gt;Param!$C$22,NA(),F13+D14)</f>
        <v>#N/A</v>
      </c>
      <c r="G14" s="18" t="str">
        <f>IF(ISNA(F14),"",F14-E14)</f>
        <v/>
      </c>
      <c r="H14" s="17" t="str">
        <f>IF(ISNA(F14),"",IF(E14=0,"",F14/E14-1))</f>
        <v/>
      </c>
    </row>
    <row r="15" spans="2:8" hidden="1" x14ac:dyDescent="0.3">
      <c r="B15" s="16">
        <f t="shared" si="0"/>
        <v>11</v>
      </c>
      <c r="C15" s="18">
        <f>HLOOKUP($B15,Orcado!$D$4:$P$5,2,FALSE)</f>
        <v>0</v>
      </c>
      <c r="D15" s="18" t="str">
        <f>IF($B15&gt;Param!$C$22,"",HLOOKUP($B15,Realizado!$D$4:$P$5,2,FALSE))</f>
        <v/>
      </c>
      <c r="E15" s="18">
        <f t="shared" si="2"/>
        <v>46420.875</v>
      </c>
      <c r="F15" s="18" t="e">
        <f>IF($B15&gt;Param!$C$22,NA(),F14+D15)</f>
        <v>#N/A</v>
      </c>
      <c r="G15" s="18" t="str">
        <f>IF(ISNA(F15),"",F15-E15)</f>
        <v/>
      </c>
      <c r="H15" s="17" t="str">
        <f>IF(ISNA(F15),"",IF(E15=0,"",F15/E15-1))</f>
        <v/>
      </c>
    </row>
    <row r="16" spans="2:8" hidden="1" x14ac:dyDescent="0.3">
      <c r="B16" s="16">
        <f t="shared" si="0"/>
        <v>12</v>
      </c>
      <c r="C16" s="18">
        <f>HLOOKUP($B16,Orcado!$D$4:$P$5,2,FALSE)</f>
        <v>0</v>
      </c>
      <c r="D16" s="18" t="str">
        <f>IF($B16&gt;Param!$C$22,"",HLOOKUP($B16,Realizado!$D$4:$P$5,2,FALSE))</f>
        <v/>
      </c>
      <c r="E16" s="18">
        <f t="shared" si="2"/>
        <v>46420.875</v>
      </c>
      <c r="F16" s="18" t="e">
        <f>IF($B16&gt;Param!$C$22,NA(),F15+D16)</f>
        <v>#N/A</v>
      </c>
      <c r="G16" s="18" t="str">
        <f>IF(ISNA(F16),"",F16-E16)</f>
        <v/>
      </c>
      <c r="H16" s="17" t="str">
        <f>IF(ISNA(F16),"",IF(E16=0,"",F16/E16-1))</f>
        <v/>
      </c>
    </row>
    <row r="17" spans="2:4" x14ac:dyDescent="0.3">
      <c r="B17" s="8" t="s">
        <v>35</v>
      </c>
      <c r="C17" s="18">
        <f>SUM(C4:C16)</f>
        <v>46420.875</v>
      </c>
      <c r="D17" s="18">
        <f>SUM(D4:D16)</f>
        <v>30947.25</v>
      </c>
    </row>
    <row r="18" spans="2:4" x14ac:dyDescent="0.3">
      <c r="B18" s="67" t="s">
        <v>75</v>
      </c>
      <c r="C18" s="29">
        <f>C17-D17</f>
        <v>15473.625</v>
      </c>
    </row>
    <row r="19" spans="2:4" x14ac:dyDescent="0.3">
      <c r="B19" s="15" t="s">
        <v>114</v>
      </c>
    </row>
  </sheetData>
  <mergeCells count="2">
    <mergeCell ref="C2:D2"/>
    <mergeCell ref="E2:F2"/>
  </mergeCells>
  <conditionalFormatting sqref="F4:F16">
    <cfRule type="expression" dxfId="0" priority="1" stopIfTrue="1">
      <formula>ISNA(F4)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37"/>
  <sheetViews>
    <sheetView showGridLines="0" workbookViewId="0"/>
  </sheetViews>
  <sheetFormatPr defaultColWidth="9.21875" defaultRowHeight="14.4" x14ac:dyDescent="0.3"/>
  <cols>
    <col min="1" max="1" width="2.77734375" style="15" customWidth="1"/>
    <col min="2" max="2" width="52.77734375" style="15" customWidth="1"/>
    <col min="3" max="3" width="35.44140625" style="15" customWidth="1"/>
    <col min="4" max="4" width="33.44140625" style="15" customWidth="1"/>
    <col min="5" max="16384" width="9.21875" style="15"/>
  </cols>
  <sheetData>
    <row r="2" spans="2:4" x14ac:dyDescent="0.3">
      <c r="B2" s="2" t="s">
        <v>26</v>
      </c>
      <c r="C2" s="2" t="s">
        <v>11</v>
      </c>
      <c r="D2" s="2" t="s">
        <v>23</v>
      </c>
    </row>
    <row r="3" spans="2:4" x14ac:dyDescent="0.3">
      <c r="B3" s="30" t="s">
        <v>4</v>
      </c>
      <c r="C3" s="30"/>
      <c r="D3" s="30" t="s">
        <v>25</v>
      </c>
    </row>
    <row r="4" spans="2:4" x14ac:dyDescent="0.3">
      <c r="B4" s="33" t="s">
        <v>27</v>
      </c>
      <c r="C4" s="33" t="s">
        <v>18</v>
      </c>
      <c r="D4" s="36">
        <v>0.06</v>
      </c>
    </row>
    <row r="5" spans="2:4" x14ac:dyDescent="0.3">
      <c r="B5" s="34"/>
      <c r="C5" s="34" t="s">
        <v>12</v>
      </c>
      <c r="D5" s="31"/>
    </row>
    <row r="6" spans="2:4" x14ac:dyDescent="0.3">
      <c r="B6" s="34"/>
      <c r="C6" s="34" t="s">
        <v>13</v>
      </c>
      <c r="D6" s="31"/>
    </row>
    <row r="7" spans="2:4" x14ac:dyDescent="0.3">
      <c r="B7" s="34"/>
      <c r="C7" s="34" t="s">
        <v>14</v>
      </c>
      <c r="D7" s="31"/>
    </row>
    <row r="8" spans="2:4" x14ac:dyDescent="0.3">
      <c r="B8" s="34"/>
      <c r="C8" s="34" t="s">
        <v>15</v>
      </c>
      <c r="D8" s="31"/>
    </row>
    <row r="9" spans="2:4" x14ac:dyDescent="0.3">
      <c r="B9" s="34"/>
      <c r="C9" s="34" t="s">
        <v>16</v>
      </c>
      <c r="D9" s="31"/>
    </row>
    <row r="10" spans="2:4" x14ac:dyDescent="0.3">
      <c r="B10" s="34"/>
      <c r="C10" s="34" t="s">
        <v>17</v>
      </c>
      <c r="D10" s="31"/>
    </row>
    <row r="11" spans="2:4" x14ac:dyDescent="0.3">
      <c r="B11" s="35"/>
      <c r="C11" s="35" t="s">
        <v>19</v>
      </c>
      <c r="D11" s="32"/>
    </row>
    <row r="15" spans="2:4" x14ac:dyDescent="0.3">
      <c r="B15" t="s">
        <v>63</v>
      </c>
      <c r="C15"/>
    </row>
    <row r="16" spans="2:4" x14ac:dyDescent="0.3">
      <c r="B16" s="67" t="s">
        <v>64</v>
      </c>
      <c r="C16"/>
    </row>
    <row r="17" spans="2:3" x14ac:dyDescent="0.3">
      <c r="B17" s="9" t="s">
        <v>65</v>
      </c>
      <c r="C17" s="68" t="s">
        <v>76</v>
      </c>
    </row>
    <row r="18" spans="2:3" x14ac:dyDescent="0.3">
      <c r="B18" s="9" t="s">
        <v>66</v>
      </c>
      <c r="C18" s="69">
        <f>DATE(2026,8,1)</f>
        <v>46235</v>
      </c>
    </row>
    <row r="19" spans="2:3" x14ac:dyDescent="0.3">
      <c r="B19" s="9" t="s">
        <v>67</v>
      </c>
      <c r="C19" s="68" t="s">
        <v>77</v>
      </c>
    </row>
    <row r="20" spans="2:3" x14ac:dyDescent="0.3">
      <c r="B20" s="67" t="s">
        <v>59</v>
      </c>
      <c r="C20" s="22"/>
    </row>
    <row r="21" spans="2:3" x14ac:dyDescent="0.3">
      <c r="B21" s="9" t="s">
        <v>78</v>
      </c>
      <c r="C21" s="98">
        <f>DATE(2026,10,26)</f>
        <v>46321</v>
      </c>
    </row>
    <row r="22" spans="2:3" x14ac:dyDescent="0.3">
      <c r="B22" s="9" t="s">
        <v>79</v>
      </c>
      <c r="C22" s="68">
        <v>3</v>
      </c>
    </row>
    <row r="24" spans="2:3" x14ac:dyDescent="0.3">
      <c r="B24" s="67" t="s">
        <v>80</v>
      </c>
    </row>
    <row r="25" spans="2:3" x14ac:dyDescent="0.3">
      <c r="B25" s="9" t="s">
        <v>81</v>
      </c>
      <c r="C25" s="99">
        <v>5</v>
      </c>
    </row>
    <row r="26" spans="2:3" x14ac:dyDescent="0.3">
      <c r="B26" s="9" t="s">
        <v>82</v>
      </c>
      <c r="C26" s="99">
        <v>8</v>
      </c>
    </row>
    <row r="27" spans="2:3" x14ac:dyDescent="0.3">
      <c r="B27" s="9" t="s">
        <v>83</v>
      </c>
      <c r="C27" s="100">
        <v>45</v>
      </c>
    </row>
    <row r="28" spans="2:3" x14ac:dyDescent="0.3">
      <c r="B28" s="9" t="s">
        <v>84</v>
      </c>
      <c r="C28" s="99">
        <v>3</v>
      </c>
    </row>
    <row r="29" spans="2:3" x14ac:dyDescent="0.3">
      <c r="B29" s="9" t="s">
        <v>85</v>
      </c>
      <c r="C29" s="99">
        <v>1</v>
      </c>
    </row>
    <row r="30" spans="2:3" x14ac:dyDescent="0.3">
      <c r="B30" s="9" t="s">
        <v>86</v>
      </c>
      <c r="C30" s="100">
        <v>150</v>
      </c>
    </row>
    <row r="31" spans="2:3" x14ac:dyDescent="0.3">
      <c r="B31" s="9" t="s">
        <v>87</v>
      </c>
      <c r="C31" s="100">
        <v>4500</v>
      </c>
    </row>
    <row r="32" spans="2:3" x14ac:dyDescent="0.3">
      <c r="B32" s="9" t="s">
        <v>88</v>
      </c>
      <c r="C32" s="99">
        <v>48</v>
      </c>
    </row>
    <row r="33" spans="2:3" x14ac:dyDescent="0.3">
      <c r="B33" s="9" t="s">
        <v>89</v>
      </c>
      <c r="C33" s="100">
        <v>54</v>
      </c>
    </row>
    <row r="34" spans="2:3" x14ac:dyDescent="0.3">
      <c r="B34" s="9" t="s">
        <v>90</v>
      </c>
      <c r="C34" s="100">
        <v>20</v>
      </c>
    </row>
    <row r="35" spans="2:3" x14ac:dyDescent="0.3">
      <c r="B35" s="9" t="s">
        <v>91</v>
      </c>
      <c r="C35" s="100">
        <v>5.5</v>
      </c>
    </row>
    <row r="36" spans="2:3" x14ac:dyDescent="0.3">
      <c r="B36" s="9" t="s">
        <v>92</v>
      </c>
      <c r="C36" s="99">
        <v>4</v>
      </c>
    </row>
    <row r="37" spans="2:3" x14ac:dyDescent="0.3">
      <c r="B37" s="9" t="s">
        <v>93</v>
      </c>
      <c r="C37" s="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Capa</vt:lpstr>
      <vt:lpstr>Orcado</vt:lpstr>
      <vt:lpstr>Realizado</vt:lpstr>
      <vt:lpstr>Status</vt:lpstr>
      <vt:lpstr>Param</vt:lpstr>
    </vt:vector>
  </TitlesOfParts>
  <Company>PMO Escritório de Projetos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Previsões de Orçamento</dc:title>
  <dc:subject>Previsões de Orçamento</dc:subject>
  <dc:creator>eduardo@escritoriodeprojetos.com.br</dc:creator>
  <dc:description>https://escritoriodeprojetos.com.br</dc:description>
  <cp:lastModifiedBy>Renato Douglas</cp:lastModifiedBy>
  <cp:lastPrinted>2011-09-19T21:52:01Z</cp:lastPrinted>
  <dcterms:created xsi:type="dcterms:W3CDTF">2003-06-16T18:48:17Z</dcterms:created>
  <dcterms:modified xsi:type="dcterms:W3CDTF">2026-10-26T22:48:32Z</dcterms:modified>
  <cp:category>Gerenciamento de Projetos, Previsão, Orçamento, Ferramenta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-390182746</vt:i4>
  </property>
  <property fmtid="{D5CDD505-2E9C-101B-9397-08002B2CF9AE}" pid="3" name="_EmailSubject">
    <vt:lpwstr>Planilha de controle e riscos</vt:lpwstr>
  </property>
  <property fmtid="{D5CDD505-2E9C-101B-9397-08002B2CF9AE}" pid="4" name="_AuthorEmail">
    <vt:lpwstr>Ywama@crk.com.br</vt:lpwstr>
  </property>
  <property fmtid="{D5CDD505-2E9C-101B-9397-08002B2CF9AE}" pid="5" name="_AuthorEmailDisplayName">
    <vt:lpwstr>Ywama</vt:lpwstr>
  </property>
  <property fmtid="{D5CDD505-2E9C-101B-9397-08002B2CF9AE}" pid="6" name="_PreviousAdHocReviewCycleID">
    <vt:i4>-1939388886</vt:i4>
  </property>
  <property fmtid="{D5CDD505-2E9C-101B-9397-08002B2CF9AE}" pid="7" name="_ReviewingToolsShownOnce">
    <vt:lpwstr/>
  </property>
</Properties>
</file>